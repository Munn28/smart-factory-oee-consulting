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b3c7b9ebb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Executive Summary" sheetId="1" r:id="R14938713a3e14d3a"/>
    <x:sheet xmlns:r="http://schemas.openxmlformats.org/officeDocument/2006/relationships" name="02 Station Performance" sheetId="2" r:id="R074e4e2210db4ae5"/>
    <x:sheet xmlns:r="http://schemas.openxmlformats.org/officeDocument/2006/relationships" name="03 Downtime Analysis" sheetId="3" r:id="Rdb9c0ea3f3c54709"/>
    <x:sheet xmlns:r="http://schemas.openxmlformats.org/officeDocument/2006/relationships" name="04 Pareto" sheetId="4" r:id="Rfc2aecd5db7d42fe"/>
    <x:sheet xmlns:r="http://schemas.openxmlformats.org/officeDocument/2006/relationships" name="05 Shift Product" sheetId="5" r:id="Rff72b3dc49ae4649"/>
    <x:sheet xmlns:r="http://schemas.openxmlformats.org/officeDocument/2006/relationships" name="06 Business Case" sheetId="6" r:id="Re3d538f3978a4133"/>
    <x:sheet xmlns:r="http://schemas.openxmlformats.org/officeDocument/2006/relationships" name="07 Assumptions" sheetId="7" r:id="R50fde7296434405e"/>
    <x:sheet xmlns:r="http://schemas.openxmlformats.org/officeDocument/2006/relationships" name="08 Data Quality" sheetId="8" r:id="Rabd111c17367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0.00"/>
    <x:numFmt numFmtId="202" formatCode="0%"/>
    <x:numFmt numFmtId="203" formatCode="0.0"/>
    <x:numFmt numFmtId="204" formatCode="€#,##0.0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3"/>
      <x:color rgb="FF1F1F1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44546A"/>
      <x:name val="Aptos"/>
    </x:font>
    <x:font>
      <x:b/>
      <x:sz val="10"/>
      <x:color rgb="FF1F1F1F"/>
      <x:name val="Aptos"/>
    </x:font>
    <x:font>
      <x:b/>
      <x:sz val="10"/>
      <x:color rgb="FF37562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F3F6F9"/>
      </x:patternFill>
    </x:fill>
    <x:fill>
      <x:patternFill patternType="solid">
        <x:fgColor rgb="FFDCE6F1"/>
      </x:patternFill>
    </x:fill>
    <x:fill>
      <x:patternFill patternType="solid">
        <x:fgColor rgb="FF5B9BD5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horizontal="left" vertical="center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left" vertical="center"/>
    </x:xf>
    <x:xf numFmtId="0" fontId="8" fillId="0" borderId="1" xfId="0" applyNumberFormat="1" applyFont="1" applyFill="1" applyBorder="1"/>
    <x:xf numFmtId="0" fontId="9" fillId="3" borderId="1" xfId="0" applyNumberFormat="1" applyFont="1" applyFill="1" applyBorder="1"/>
    <x:xf numFmtId="0" fontId="10" fillId="4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left" vertical="center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200" fontId="8" fillId="0" borderId="0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wrapText="1"/>
    </x:xf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202" fontId="8" fillId="0" borderId="0" xfId="0" applyNumberFormat="1" applyFont="1" applyFill="1" applyBorder="1"/>
    <x:xf numFmtId="203" fontId="8" fillId="0" borderId="1" xfId="0" applyNumberFormat="1" applyFont="1" applyFill="1" applyBorder="1"/>
    <x:xf numFmtId="204" fontId="8" fillId="0" borderId="1" xfId="0" applyNumberFormat="1" applyFont="1" applyFill="1" applyBorder="1"/>
    <x:xf numFmtId="202" fontId="8" fillId="0" borderId="1" xfId="0" applyNumberFormat="1" applyFont="1" applyFill="1" applyBorder="1"/>
    <x:xf numFmtId="0" fontId="11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9ebcf24304a03" /><Relationship Type="http://schemas.openxmlformats.org/officeDocument/2006/relationships/theme" Target="/xl/theme/theme1.xml" Id="Rde12fd6c9d46414e" /><Relationship Type="http://schemas.openxmlformats.org/officeDocument/2006/relationships/sharedStrings" Target="/xl/sharedStrings.xml" Id="R5a5a2a50afbb4d79" /><Relationship Type="http://schemas.openxmlformats.org/officeDocument/2006/relationships/worksheet" Target="/xl/worksheets/sheet1.xml" Id="R14938713a3e14d3a" /><Relationship Type="http://schemas.openxmlformats.org/officeDocument/2006/relationships/worksheet" Target="/xl/worksheets/sheet2.xml" Id="R074e4e2210db4ae5" /><Relationship Type="http://schemas.openxmlformats.org/officeDocument/2006/relationships/worksheet" Target="/xl/worksheets/sheet3.xml" Id="Rdb9c0ea3f3c54709" /><Relationship Type="http://schemas.openxmlformats.org/officeDocument/2006/relationships/worksheet" Target="/xl/worksheets/sheet4.xml" Id="Rfc2aecd5db7d42fe" /><Relationship Type="http://schemas.openxmlformats.org/officeDocument/2006/relationships/worksheet" Target="/xl/worksheets/sheet5.xml" Id="Rff72b3dc49ae4649" /><Relationship Type="http://schemas.openxmlformats.org/officeDocument/2006/relationships/worksheet" Target="/xl/worksheets/sheet6.xml" Id="Re3d538f3978a4133" /><Relationship Type="http://schemas.openxmlformats.org/officeDocument/2006/relationships/worksheet" Target="/xl/worksheets/sheet7.xml" Id="R50fde7296434405e" /><Relationship Type="http://schemas.openxmlformats.org/officeDocument/2006/relationships/worksheet" Target="/xl/worksheets/sheet8.xml" Id="Rabd111c1736749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af359c6ee146f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d6b4105fd0c411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ebcdd213fe743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OEE Components by Station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Availability</c:v>
          </c:tx>
          <c:cat>
            <c:strRef>
              <c:f>'02 Station Performance'!$B$5:$B$9</c:f>
              <c:strCache>
                <c:ptCount val="0"/>
              </c:strCache>
            </c:strRef>
          </c:cat>
          <c:val>
            <c:numRef>
              <c:f>'02 Station Performance'!$C$5:$C$9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Performance</c:v>
          </c:tx>
          <c:cat>
            <c:strRef>
              <c:f>'02 Station Performance'!$B$5:$B$9</c:f>
              <c:strCache>
                <c:ptCount val="0"/>
              </c:strCache>
            </c:strRef>
          </c:cat>
          <c:val>
            <c:numRef>
              <c:f>'02 Station Performance'!$D$5:$D$9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Quality</c:v>
          </c:tx>
          <c:cat>
            <c:strRef>
              <c:f>'02 Station Performance'!$B$5:$B$9</c:f>
              <c:strCache>
                <c:ptCount val="0"/>
              </c:strCache>
            </c:strRef>
          </c:cat>
          <c:val>
            <c:numRef>
              <c:f>'02 Station Performance'!$E$5:$E$9</c:f>
              <c:numCache>
                <c:formatCode>0.00%</c:formatCode>
                <c:ptCount val="0"/>
              </c:numCache>
            </c:numRef>
          </c:val>
        </c:ser>
        <c:ser>
          <c:idx val="3"/>
          <c:order val="3"/>
          <c:tx>
            <c:v>OEE</c:v>
          </c:tx>
          <c:cat>
            <c:strRef>
              <c:f>'02 Station Performance'!$B$5:$B$9</c:f>
              <c:strCache>
                <c:ptCount val="0"/>
              </c:strCache>
            </c:strRef>
          </c:cat>
          <c:val>
            <c:numRef>
              <c:f>'02 Station Performance'!$F$5:$F$9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Downtime by Station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Downtime (min)</c:v>
          </c:tx>
          <c:cat>
            <c:strRef>
              <c:f>'03 Downtime Analysis'!$B$5:$B$9</c:f>
              <c:strCache>
                <c:ptCount val="0"/>
              </c:strCache>
            </c:strRef>
          </c:cat>
          <c:val>
            <c:numRef>
              <c:f>'03 Downtime Analysis'!$C$5:$C$9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Unplanned Downtime Causes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Downtime (min)</c:v>
          </c:tx>
          <c:cat>
            <c:strRef>
              <c:f>'04 Pareto'!$A$5:$A$13</c:f>
              <c:strCache>
                <c:ptCount val="0"/>
              </c:strCache>
            </c:strRef>
          </c:cat>
          <c:val>
            <c:numRef>
              <c:f>'04 Pareto'!$B$5:$B$13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af359c6ee146f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6b4105fd0c411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bcdd213fe7435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fc6d8fb84534d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1a58a5b94f549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ff40d9f9c65445f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56" hidden="0" customWidth="1"/>
    <x:col min="5" max="5" width="20" hidden="0" customWidth="1"/>
    <x:col min="7" max="7" width="22" hidden="0" customWidth="1"/>
  </x:cols>
  <x:sheetData>
    <x:row r="1" ht="28" customHeight="1">
      <x:c r="A1" s="70" t="str">
        <x:v>Smart Factory Production Performance &amp; OEE Improvement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1"/>
    </x:row>
    <x:row r="2" ht="20" customHeight="1">
      <x:c r="A2" s="72" t="str">
        <x:v>NexaMotion Components GmbH | Synthetic manufacturing consulting case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1"/>
    </x:row>
    <x:row r="3">
      <x:c r="A3" s="71"/>
      <x:c r="B3" s="71"/>
      <x:c r="C3" s="71"/>
      <x:c r="D3" s="71"/>
      <x:c r="E3" s="71"/>
      <x:c r="F3" s="71"/>
      <x:c r="G3" s="71"/>
      <x:c r="H3" s="71"/>
      <x:c r="I3" s="71"/>
      <x:c r="J3" s="71"/>
      <x:c r="K3" s="71"/>
    </x:row>
    <x:row r="4">
      <x:c r="A4" s="73" t="str">
        <x:v>OEE
88.30%</x:v>
      </x:c>
      <x:c r="B4" s="73"/>
      <x:c r="C4" s="73" t="str">
        <x:v>Availability
96.39%</x:v>
      </x:c>
      <x:c r="D4" s="73"/>
      <x:c r="E4" s="73" t="str">
        <x:v>Performance
93.21%</x:v>
      </x:c>
      <x:c r="F4" s="73"/>
      <x:c r="G4" s="73" t="str">
        <x:v>Quality
98.28%</x:v>
      </x:c>
      <x:c r="H4" s="73"/>
      <x:c r="I4" s="71"/>
      <x:c r="J4" s="71"/>
      <x:c r="K4" s="71"/>
    </x:row>
    <x:row r="5">
      <x:c r="A5" s="73"/>
      <x:c r="B5" s="73"/>
      <x:c r="C5" s="73"/>
      <x:c r="D5" s="73"/>
      <x:c r="E5" s="73"/>
      <x:c r="F5" s="73"/>
      <x:c r="G5" s="73"/>
      <x:c r="H5" s="73"/>
      <x:c r="I5" s="71"/>
      <x:c r="J5" s="71"/>
      <x:c r="K5" s="71"/>
    </x:row>
    <x:row r="6">
      <x:c r="A6" s="73"/>
      <x:c r="B6" s="73"/>
      <x:c r="C6" s="73"/>
      <x:c r="D6" s="73"/>
      <x:c r="E6" s="73"/>
      <x:c r="F6" s="73"/>
      <x:c r="G6" s="73"/>
      <x:c r="H6" s="73"/>
      <x:c r="I6" s="71"/>
      <x:c r="J6" s="71"/>
      <x:c r="K6" s="71"/>
    </x:row>
    <x:row r="7">
      <x:c r="A7" s="71"/>
      <x:c r="B7" s="71"/>
      <x:c r="C7" s="71"/>
      <x:c r="D7" s="71"/>
      <x:c r="E7" s="71"/>
      <x:c r="F7" s="71"/>
      <x:c r="G7" s="71"/>
      <x:c r="H7" s="71"/>
      <x:c r="I7" s="71"/>
      <x:c r="J7" s="71"/>
      <x:c r="K7" s="71"/>
    </x:row>
    <x:row r="8">
      <x:c r="A8" s="73" t="str">
        <x:v>MTBF
9.74 h</x:v>
      </x:c>
      <x:c r="B8" s="73"/>
      <x:c r="C8" s="73" t="str">
        <x:v>MTTR
12.45 min</x:v>
      </x:c>
      <x:c r="D8" s="73"/>
      <x:c r="E8" s="73" t="str">
        <x:v>Output Attainment
97.09%</x:v>
      </x:c>
      <x:c r="F8" s="73"/>
      <x:c r="G8" s="73" t="str">
        <x:v>ST04 Constraint Share
97.78%</x:v>
      </x:c>
      <x:c r="H8" s="73"/>
      <x:c r="I8" s="71"/>
      <x:c r="J8" s="71"/>
      <x:c r="K8" s="71"/>
    </x:row>
    <x:row r="9">
      <x:c r="A9" s="73"/>
      <x:c r="B9" s="73"/>
      <x:c r="C9" s="73"/>
      <x:c r="D9" s="73"/>
      <x:c r="E9" s="73"/>
      <x:c r="F9" s="73"/>
      <x:c r="G9" s="73"/>
      <x:c r="H9" s="73"/>
      <x:c r="I9" s="71"/>
      <x:c r="J9" s="71"/>
      <x:c r="K9" s="71"/>
    </x:row>
    <x:row r="10">
      <x:c r="A10" s="73"/>
      <x:c r="B10" s="73"/>
      <x:c r="C10" s="73"/>
      <x:c r="D10" s="73"/>
      <x:c r="E10" s="73"/>
      <x:c r="F10" s="73"/>
      <x:c r="G10" s="73"/>
      <x:c r="H10" s="73"/>
      <x:c r="I10" s="71"/>
      <x:c r="J10" s="71"/>
      <x:c r="K10" s="71"/>
    </x:row>
    <x:row r="11">
      <x:c r="A11" s="71"/>
      <x:c r="B11" s="71"/>
      <x:c r="C11" s="71"/>
      <x:c r="D11" s="71"/>
      <x:c r="E11" s="71"/>
      <x:c r="F11" s="71"/>
      <x:c r="G11" s="71"/>
      <x:c r="H11" s="71"/>
      <x:c r="I11" s="71"/>
      <x:c r="J11" s="71"/>
      <x:c r="K11" s="71"/>
    </x:row>
    <x:row r="12">
      <x:c r="A12" s="74" t="str">
        <x:v>Executive Findings</x:v>
      </x:c>
      <x:c r="B12" s="74"/>
      <x:c r="C12" s="74"/>
      <x:c r="D12" s="74"/>
      <x:c r="E12" s="74"/>
      <x:c r="F12" s="74"/>
      <x:c r="G12" s="74"/>
      <x:c r="H12" s="74"/>
      <x:c r="I12" s="71"/>
      <x:c r="J12" s="71"/>
      <x:c r="K12" s="71"/>
    </x:row>
    <x:row r="13" ht="15" hidden="0" customHeight="1">
      <x:c r="A13" s="75" t="str">
        <x:v>Priority</x:v>
      </x:c>
      <x:c r="B13" s="75" t="str">
        <x:v>Finding</x:v>
      </x:c>
      <x:c r="C13" s="75" t="str">
        <x:v>Evidence</x:v>
      </x:c>
      <x:c r="D13" s="71"/>
      <x:c r="E13" s="71"/>
      <x:c r="F13" s="71"/>
      <x:c r="G13" s="71"/>
      <x:c r="H13" s="71"/>
      <x:c r="I13" s="71"/>
      <x:c r="J13" s="71"/>
      <x:c r="K13" s="71"/>
    </x:row>
    <x:row r="14" ht="105.5999984741211" hidden="0" customHeight="1">
      <x:c r="A14" s="76" t="str">
        <x:v>1</x:v>
      </x:c>
      <x:c r="B14" s="76" t="str">
        <x:v>ST04 Assembly &amp; Testing is the dominant throughput constraint.</x:v>
      </x:c>
      <x:c r="C14" s="76" t="str">
        <x:v>97.78% of shifts constrained by ST04; lowest OEE at 85.46%.</x:v>
      </x:c>
      <x:c r="D14" s="71"/>
      <x:c r="E14" s="71"/>
      <x:c r="F14" s="71"/>
      <x:c r="G14" s="71"/>
      <x:c r="H14" s="71"/>
      <x:c r="I14" s="71"/>
      <x:c r="J14" s="71"/>
      <x:c r="K14" s="71"/>
    </x:row>
    <x:row r="15" ht="171.60000610351562" hidden="0" customHeight="1">
      <x:c r="A15" s="76" t="str">
        <x:v>2</x:v>
      </x:c>
      <x:c r="B15" s="76" t="str">
        <x:v>ST02 Robot Handling is the main availability/reliability loss area.</x:v>
      </x:c>
      <x:c r="C15" s="76" t="str">
        <x:v>1,993.35 min downtime; Part Presence Sensor drives 33.07% of ST02 unplanned downtime.</x:v>
      </x:c>
      <x:c r="D15" s="71"/>
      <x:c r="E15" s="71"/>
      <x:c r="F15" s="71"/>
      <x:c r="G15" s="71"/>
      <x:c r="H15" s="71"/>
      <x:c r="I15" s="71"/>
      <x:c r="J15" s="71"/>
      <x:c r="K15" s="71"/>
    </x:row>
    <x:row r="16" ht="92.4000015258789" hidden="0" customHeight="1">
      <x:c r="A16" s="76" t="str">
        <x:v>3</x:v>
      </x:c>
      <x:c r="B16" s="76" t="str">
        <x:v>ST03 Quality Inspection is the main quality-loss area.</x:v>
      </x:c>
      <x:c r="C16" s="76" t="str">
        <x:v>Lowest quality at 96.81%; scrap rate 3.19%.</x:v>
      </x:c>
      <x:c r="D16" s="71"/>
      <x:c r="E16" s="71"/>
      <x:c r="F16" s="71"/>
      <x:c r="G16" s="71"/>
      <x:c r="H16" s="71"/>
      <x:c r="I16" s="71"/>
      <x:c r="J16" s="71"/>
      <x:c r="K16" s="71"/>
    </x:row>
    <x:row r="17" ht="198" hidden="0" customHeight="1">
      <x:c r="A17" s="76" t="str">
        <x:v>4</x:v>
      </x:c>
      <x:c r="B17" s="76" t="str">
        <x:v>Prioritize ST04 throughput improvement before ST02 reliability investment.</x:v>
      </x:c>
      <x:c r="C17" s="76" t="str">
        <x:v>ST02 improvement recovers stability but yields no additional finished units while ST04 remains constrained.</x:v>
      </x:c>
      <x:c r="D17" s="71"/>
      <x:c r="E17" s="71"/>
      <x:c r="F17" s="71"/>
      <x:c r="G17" s="71"/>
      <x:c r="H17" s="71"/>
      <x:c r="I17" s="71"/>
      <x:c r="J17" s="71"/>
      <x:c r="K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</x:row>
    <x:row r="19">
      <x:c r="A19" s="74" t="str">
        <x:v>Management Recommendation</x:v>
      </x:c>
      <x:c r="B19" s="74"/>
      <x:c r="C19" s="74"/>
      <x:c r="D19" s="74"/>
      <x:c r="E19" s="74"/>
      <x:c r="F19" s="74"/>
      <x:c r="G19" s="74"/>
      <x:c r="H19" s="74"/>
      <x:c r="I19" s="71"/>
      <x:c r="J19" s="71"/>
      <x:c r="K19" s="71"/>
    </x:row>
    <x:row r="20">
      <x:c r="A20" s="77" t="str">
        <x:v>Phase 1: Improve ST04 Assembly &amp; Testing through work-element analysis and standard work, then validate functional-test / fixture optimization. Phase 2: address recurring ST02 Part Presence Sensor failures after ST04 capacity is released, improving reliability and protecting the newly available production capacity.</x:v>
      </x:c>
      <x:c r="B20" s="77"/>
      <x:c r="C20" s="77"/>
      <x:c r="D20" s="77"/>
      <x:c r="E20" s="77"/>
      <x:c r="F20" s="77"/>
      <x:c r="G20" s="77"/>
      <x:c r="H20" s="77"/>
      <x:c r="I20" s="71"/>
      <x:c r="J20" s="71"/>
      <x:c r="K20" s="71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1"/>
      <x:c r="J21" s="71"/>
      <x:c r="K21" s="71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1"/>
      <x:c r="J22" s="71"/>
      <x:c r="K22" s="71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1"/>
      <x:c r="J23" s="71"/>
      <x:c r="K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</x:row>
  </x:sheetData>
  <x:mergeCells>
    <x:mergeCell ref="A1:J1"/>
    <x:mergeCell ref="A2:J2"/>
    <x:mergeCell ref="A4:B6"/>
    <x:mergeCell ref="C4:D6"/>
    <x:mergeCell ref="E4:F6"/>
    <x:mergeCell ref="G4:H6"/>
    <x:mergeCell ref="A8:B10"/>
    <x:mergeCell ref="C8:D10"/>
    <x:mergeCell ref="E8:F10"/>
    <x:mergeCell ref="G8:H10"/>
    <x:mergeCell ref="A12:H12"/>
    <x:mergeCell ref="A19:H19"/>
    <x:mergeCell ref="A20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8" customHeight="1">
      <x:c r="A1" s="70" t="str">
        <x:v>Station Performance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1"/>
    </x:row>
    <x:row r="2" ht="20" customHeight="1">
      <x:c r="A2" s="72" t="str">
        <x:v>OEE decomposition by station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1"/>
    </x:row>
    <x:row r="3">
      <x:c r="A3" s="71"/>
      <x:c r="B3" s="71"/>
      <x:c r="C3" s="71"/>
      <x:c r="D3" s="71"/>
      <x:c r="E3" s="71"/>
      <x:c r="F3" s="71"/>
      <x:c r="G3" s="71"/>
      <x:c r="H3" s="71"/>
      <x:c r="I3" s="71"/>
      <x:c r="J3" s="71"/>
      <x:c r="K3" s="71"/>
    </x:row>
    <x:row r="4" ht="26.399999618530273" hidden="0" customHeight="1">
      <x:c r="A4" s="75" t="str">
        <x:v>Station ID</x:v>
      </x:c>
      <x:c r="B4" s="75" t="str">
        <x:v>Station</x:v>
      </x:c>
      <x:c r="C4" s="75" t="str">
        <x:v>Availability</x:v>
      </x:c>
      <x:c r="D4" s="75" t="str">
        <x:v>Performance</x:v>
      </x:c>
      <x:c r="E4" s="75" t="str">
        <x:v>Quality</x:v>
      </x:c>
      <x:c r="F4" s="75" t="str">
        <x:v>OEE</x:v>
      </x:c>
      <x:c r="G4" s="75" t="str">
        <x:v>Scrap Rate</x:v>
      </x:c>
      <x:c r="H4" s="75" t="str">
        <x:v>Capacity Utilization</x:v>
      </x:c>
      <x:c r="I4" s="71"/>
      <x:c r="J4" s="71"/>
      <x:c r="K4" s="71"/>
    </x:row>
    <x:row r="5" ht="15" hidden="0" customHeight="1">
      <x:c r="A5" s="71" t="str">
        <x:v>ST01</x:v>
      </x:c>
      <x:c r="B5" s="71" t="str">
        <x:v>CNC Machining</x:v>
      </x:c>
      <x:c r="C5" s="86" t="n">
        <x:v>0.9669</x:v>
      </x:c>
      <x:c r="D5" s="86" t="n">
        <x:v>0.9374</x:v>
      </x:c>
      <x:c r="E5" s="86" t="n">
        <x:v>0.9819</x:v>
      </x:c>
      <x:c r="F5" s="86" t="n">
        <x:v>0.89</x:v>
      </x:c>
      <x:c r="G5" s="86" t="n">
        <x:v>0.0181</x:v>
      </x:c>
      <x:c r="H5" s="86" t="n">
        <x:v>0.9064</x:v>
      </x:c>
      <x:c r="I5" s="71"/>
      <x:c r="J5" s="71"/>
      <x:c r="K5" s="71"/>
    </x:row>
    <x:row r="6" ht="15" hidden="0" customHeight="1">
      <x:c r="A6" s="71" t="str">
        <x:v>ST02</x:v>
      </x:c>
      <x:c r="B6" s="71" t="str">
        <x:v>Robot Handling</x:v>
      </x:c>
      <x:c r="C6" s="86" t="n">
        <x:v>0.9508</x:v>
      </x:c>
      <x:c r="D6" s="86" t="n">
        <x:v>0.9358</x:v>
      </x:c>
      <x:c r="E6" s="86" t="n">
        <x:v>0.9925</x:v>
      </x:c>
      <x:c r="F6" s="86" t="n">
        <x:v>0.8831</x:v>
      </x:c>
      <x:c r="G6" s="86" t="n">
        <x:v>0.0075</x:v>
      </x:c>
      <x:c r="H6" s="86" t="n">
        <x:v>0.8894</x:v>
      </x:c>
      <x:c r="I6" s="71"/>
      <x:c r="J6" s="71"/>
      <x:c r="K6" s="71"/>
    </x:row>
    <x:row r="7" ht="15" hidden="0" customHeight="1">
      <x:c r="A7" s="71" t="str">
        <x:v>ST03</x:v>
      </x:c>
      <x:c r="B7" s="71" t="str">
        <x:v>Quality Inspection</x:v>
      </x:c>
      <x:c r="C7" s="86" t="n">
        <x:v>0.968</x:v>
      </x:c>
      <x:c r="D7" s="86" t="n">
        <x:v>0.9396</x:v>
      </x:c>
      <x:c r="E7" s="86" t="n">
        <x:v>0.9681</x:v>
      </x:c>
      <x:c r="F7" s="86" t="n">
        <x:v>0.8806</x:v>
      </x:c>
      <x:c r="G7" s="86" t="n">
        <x:v>0.0319</x:v>
      </x:c>
      <x:c r="H7" s="86" t="n">
        <x:v>0.9096</x:v>
      </x:c>
      <x:c r="I7" s="71"/>
      <x:c r="J7" s="71"/>
      <x:c r="K7" s="71"/>
    </x:row>
    <x:row r="8" ht="15" hidden="0" customHeight="1">
      <x:c r="A8" s="71" t="str">
        <x:v>ST04</x:v>
      </x:c>
      <x:c r="B8" s="71" t="str">
        <x:v>Assembly &amp; Testing</x:v>
      </x:c>
      <x:c r="C8" s="86" t="n">
        <x:v>0.9558</x:v>
      </x:c>
      <x:c r="D8" s="86" t="n">
        <x:v>0.9148</x:v>
      </x:c>
      <x:c r="E8" s="86" t="n">
        <x:v>0.9773</x:v>
      </x:c>
      <x:c r="F8" s="86" t="n">
        <x:v>0.8546</x:v>
      </x:c>
      <x:c r="G8" s="86" t="n">
        <x:v>0.0227</x:v>
      </x:c>
      <x:c r="H8" s="86" t="n">
        <x:v>0.8741</x:v>
      </x:c>
      <x:c r="I8" s="71"/>
      <x:c r="J8" s="71"/>
      <x:c r="K8" s="71"/>
    </x:row>
    <x:row r="9" ht="15" hidden="0" customHeight="1">
      <x:c r="A9" s="71" t="str">
        <x:v>ST05</x:v>
      </x:c>
      <x:c r="B9" s="71" t="str">
        <x:v>Packaging</x:v>
      </x:c>
      <x:c r="C9" s="86" t="n">
        <x:v>0.9779</x:v>
      </x:c>
      <x:c r="D9" s="86" t="n">
        <x:v>0.9329</x:v>
      </x:c>
      <x:c r="E9" s="86" t="n">
        <x:v>0.9931</x:v>
      </x:c>
      <x:c r="F9" s="86" t="n">
        <x:v>0.906</x:v>
      </x:c>
      <x:c r="G9" s="86" t="n">
        <x:v>0.0069</x:v>
      </x:c>
      <x:c r="H9" s="86" t="n">
        <x:v>0.912</x:v>
      </x:c>
      <x:c r="I9" s="71"/>
      <x:c r="J9" s="71"/>
      <x:c r="K9" s="71"/>
    </x:row>
    <x:row r="10">
      <x:c r="A10" s="71"/>
      <x:c r="B10" s="71"/>
      <x:c r="C10" s="71"/>
      <x:c r="D10" s="71"/>
      <x:c r="E10" s="71"/>
      <x:c r="F10" s="71"/>
      <x:c r="G10" s="71"/>
      <x:c r="H10" s="71"/>
      <x:c r="I10" s="71"/>
      <x:c r="J10" s="71"/>
      <x:c r="K10" s="71"/>
    </x:row>
    <x:row r="11">
      <x:c r="A11" s="71"/>
      <x:c r="B11" s="71"/>
      <x:c r="C11" s="71"/>
      <x:c r="D11" s="71"/>
      <x:c r="E11" s="71"/>
      <x:c r="F11" s="71"/>
      <x:c r="G11" s="71"/>
      <x:c r="H11" s="71"/>
      <x:c r="I11" s="71"/>
      <x:c r="J11" s="71"/>
      <x:c r="K11" s="71"/>
    </x:row>
    <x:row r="12">
      <x:c r="A12" s="71"/>
      <x:c r="B12" s="71"/>
      <x:c r="C12" s="71"/>
      <x:c r="D12" s="71"/>
      <x:c r="E12" s="71"/>
      <x:c r="F12" s="71"/>
      <x:c r="G12" s="71"/>
      <x:c r="H12" s="71"/>
      <x:c r="I12" s="71"/>
      <x:c r="J12" s="71"/>
      <x:c r="K12" s="71"/>
    </x:row>
    <x:row r="13">
      <x:c r="A13" s="71"/>
      <x:c r="B13" s="71"/>
      <x:c r="C13" s="71"/>
      <x:c r="D13" s="71"/>
      <x:c r="E13" s="71"/>
      <x:c r="F13" s="71"/>
      <x:c r="G13" s="71"/>
      <x:c r="H13" s="71"/>
      <x:c r="I13" s="71"/>
      <x:c r="J13" s="71"/>
      <x:c r="K13" s="71"/>
    </x:row>
    <x:row r="14">
      <x:c r="A14" s="71"/>
      <x:c r="B14" s="71"/>
      <x:c r="C14" s="71"/>
      <x:c r="D14" s="71"/>
      <x:c r="E14" s="71"/>
      <x:c r="F14" s="71"/>
      <x:c r="G14" s="71"/>
      <x:c r="H14" s="71"/>
      <x:c r="I14" s="71"/>
      <x:c r="J14" s="71"/>
      <x:c r="K14" s="71"/>
    </x:row>
    <x:row r="15">
      <x:c r="A15" s="71"/>
      <x:c r="B15" s="71"/>
      <x:c r="C15" s="71"/>
      <x:c r="D15" s="71"/>
      <x:c r="E15" s="71"/>
      <x:c r="F15" s="71"/>
      <x:c r="G15" s="71"/>
      <x:c r="H15" s="71"/>
      <x:c r="I15" s="71"/>
      <x:c r="J15" s="71"/>
      <x:c r="K15" s="71"/>
    </x:row>
    <x:row r="16">
      <x:c r="A16" s="71"/>
      <x:c r="B16" s="71"/>
      <x:c r="C16" s="71"/>
      <x:c r="D16" s="71"/>
      <x:c r="E16" s="71"/>
      <x:c r="F16" s="71"/>
      <x:c r="G16" s="71"/>
      <x:c r="H16" s="71"/>
      <x:c r="I16" s="71"/>
      <x:c r="J16" s="71"/>
      <x:c r="K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</x:row>
  </x:sheetData>
  <x:mergeCells>
    <x:mergeCell ref="A1:J1"/>
    <x:mergeCell ref="A2:J2"/>
  </x:mergeCells>
  <x:conditionalFormatting sqref="F5:F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ffc6d8fb84534d01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70" t="str">
        <x:v>Downtime Analysis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1"/>
    </x:row>
    <x:row r="2" ht="20" customHeight="1">
      <x:c r="A2" s="72" t="str">
        <x:v>Total downtime by production station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1"/>
    </x:row>
    <x:row r="3">
      <x:c r="A3" s="71"/>
      <x:c r="B3" s="71"/>
      <x:c r="C3" s="71"/>
      <x:c r="D3" s="71"/>
      <x:c r="E3" s="71"/>
      <x:c r="F3" s="71"/>
      <x:c r="G3" s="71"/>
      <x:c r="H3" s="71"/>
      <x:c r="I3" s="71"/>
      <x:c r="J3" s="71"/>
      <x:c r="K3" s="71"/>
    </x:row>
    <x:row r="4">
      <x:c r="A4" s="75" t="str">
        <x:v>Station ID</x:v>
      </x:c>
      <x:c r="B4" s="75" t="str">
        <x:v>Station</x:v>
      </x:c>
      <x:c r="C4" s="75" t="str">
        <x:v>Downtime (min)</x:v>
      </x:c>
      <x:c r="D4" s="75" t="str">
        <x:v>Downtime (h)</x:v>
      </x:c>
      <x:c r="E4" s="75" t="str">
        <x:v>Share of Total</x:v>
      </x:c>
      <x:c r="F4" s="71"/>
      <x:c r="G4" s="71"/>
      <x:c r="H4" s="71"/>
      <x:c r="I4" s="71"/>
      <x:c r="J4" s="71"/>
      <x:c r="K4" s="71"/>
    </x:row>
    <x:row r="5">
      <x:c r="A5" s="71" t="str">
        <x:v>ST02</x:v>
      </x:c>
      <x:c r="B5" s="71" t="str">
        <x:v>Robot Handling</x:v>
      </x:c>
      <x:c r="C5" s="88" t="n">
        <x:v>1993.35</x:v>
      </x:c>
      <x:c r="D5" s="88" t="n">
        <x:v>33.2225</x:v>
      </x:c>
      <x:c r="E5" s="86" t="n">
        <x:v>0.2725892802198929</x:v>
      </x:c>
      <x:c r="F5" s="71"/>
      <x:c r="G5" s="71"/>
      <x:c r="H5" s="71"/>
      <x:c r="I5" s="71"/>
      <x:c r="J5" s="71"/>
      <x:c r="K5" s="71"/>
    </x:row>
    <x:row r="6">
      <x:c r="A6" s="71" t="str">
        <x:v>ST04</x:v>
      </x:c>
      <x:c r="B6" s="71" t="str">
        <x:v>Assembly &amp; Testing</x:v>
      </x:c>
      <x:c r="C6" s="88" t="n">
        <x:v>1790.54</x:v>
      </x:c>
      <x:c r="D6" s="88" t="n">
        <x:v>29.842333333333332</x:v>
      </x:c>
      <x:c r="E6" s="86" t="n">
        <x:v>0.24485514827046284</x:v>
      </x:c>
      <x:c r="F6" s="71"/>
      <x:c r="G6" s="71"/>
      <x:c r="H6" s="71"/>
      <x:c r="I6" s="71"/>
      <x:c r="J6" s="71"/>
      <x:c r="K6" s="71"/>
    </x:row>
    <x:row r="7">
      <x:c r="A7" s="71" t="str">
        <x:v>ST01</x:v>
      </x:c>
      <x:c r="B7" s="71" t="str">
        <x:v>CNC Machining</x:v>
      </x:c>
      <x:c r="C7" s="88" t="n">
        <x:v>1339.34</x:v>
      </x:c>
      <x:c r="D7" s="88" t="n">
        <x:v>22.322333333333333</x:v>
      </x:c>
      <x:c r="E7" s="86" t="n">
        <x:v>0.18315384983555894</x:v>
      </x:c>
      <x:c r="F7" s="71"/>
      <x:c r="G7" s="71"/>
      <x:c r="H7" s="71"/>
      <x:c r="I7" s="71"/>
      <x:c r="J7" s="71"/>
      <x:c r="K7" s="71"/>
    </x:row>
    <x:row r="8">
      <x:c r="A8" s="71" t="str">
        <x:v>ST03</x:v>
      </x:c>
      <x:c r="B8" s="71" t="str">
        <x:v>Quality Inspection</x:v>
      </x:c>
      <x:c r="C8" s="88" t="n">
        <x:v>1294.88</x:v>
      </x:c>
      <x:c r="D8" s="88" t="n">
        <x:v>21.581333333333337</x:v>
      </x:c>
      <x:c r="E8" s="86" t="n">
        <x:v>0.1770739745509494</x:v>
      </x:c>
      <x:c r="F8" s="71"/>
      <x:c r="G8" s="71"/>
      <x:c r="H8" s="71"/>
      <x:c r="I8" s="71"/>
      <x:c r="J8" s="71"/>
      <x:c r="K8" s="71"/>
    </x:row>
    <x:row r="9">
      <x:c r="A9" s="71" t="str">
        <x:v>ST05</x:v>
      </x:c>
      <x:c r="B9" s="71" t="str">
        <x:v>Packaging</x:v>
      </x:c>
      <x:c r="C9" s="88" t="n">
        <x:v>894.54</x:v>
      </x:c>
      <x:c r="D9" s="88" t="n">
        <x:v>14.908999999999999</x:v>
      </x:c>
      <x:c r="E9" s="86" t="n">
        <x:v>0.12232774712313593</x:v>
      </x:c>
      <x:c r="F9" s="71"/>
      <x:c r="G9" s="71"/>
      <x:c r="H9" s="71"/>
      <x:c r="I9" s="71"/>
      <x:c r="J9" s="71"/>
      <x:c r="K9" s="71"/>
    </x:row>
    <x:row r="10">
      <x:c r="A10" s="71"/>
      <x:c r="B10" s="71"/>
      <x:c r="C10" s="71"/>
      <x:c r="D10" s="71"/>
      <x:c r="E10" s="71"/>
      <x:c r="F10" s="71"/>
      <x:c r="G10" s="71"/>
      <x:c r="H10" s="71"/>
      <x:c r="I10" s="71"/>
      <x:c r="J10" s="71"/>
      <x:c r="K10" s="71"/>
    </x:row>
    <x:row r="11">
      <x:c r="A11" s="74" t="str">
        <x:v>Key Finding</x:v>
      </x:c>
      <x:c r="B11" s="74"/>
      <x:c r="C11" s="74"/>
      <x:c r="D11" s="74"/>
      <x:c r="E11" s="74"/>
      <x:c r="F11" s="71"/>
      <x:c r="G11" s="71"/>
      <x:c r="H11" s="71"/>
      <x:c r="I11" s="71"/>
      <x:c r="J11" s="71"/>
      <x:c r="K11" s="71"/>
    </x:row>
    <x:row r="12">
      <x:c r="A12" s="76" t="str">
        <x:v>Robot Handling (ST02) generated the highest downtime at 1,993.35 minutes, but Assembly &amp; Testing (ST04) remained the dominant line constraint. Downtime ranking therefore must not be treated as bottleneck ranking.</x:v>
      </x:c>
      <x:c r="B12" s="76"/>
      <x:c r="C12" s="76"/>
      <x:c r="D12" s="76"/>
      <x:c r="E12" s="76"/>
      <x:c r="F12" s="71"/>
      <x:c r="G12" s="71"/>
      <x:c r="H12" s="71"/>
      <x:c r="I12" s="71"/>
      <x:c r="J12" s="71"/>
      <x:c r="K12" s="71"/>
    </x:row>
    <x:row r="13">
      <x:c r="A13" s="76"/>
      <x:c r="B13" s="76"/>
      <x:c r="C13" s="76"/>
      <x:c r="D13" s="76"/>
      <x:c r="E13" s="76"/>
      <x:c r="F13" s="71"/>
      <x:c r="G13" s="71"/>
      <x:c r="H13" s="71"/>
      <x:c r="I13" s="71"/>
      <x:c r="J13" s="71"/>
      <x:c r="K13" s="71"/>
    </x:row>
    <x:row r="14">
      <x:c r="A14" s="76"/>
      <x:c r="B14" s="76"/>
      <x:c r="C14" s="76"/>
      <x:c r="D14" s="76"/>
      <x:c r="E14" s="76"/>
      <x:c r="F14" s="71"/>
      <x:c r="G14" s="71"/>
      <x:c r="H14" s="71"/>
      <x:c r="I14" s="71"/>
      <x:c r="J14" s="71"/>
      <x:c r="K14" s="71"/>
    </x:row>
    <x:row r="15">
      <x:c r="A15" s="71"/>
      <x:c r="B15" s="71"/>
      <x:c r="C15" s="71"/>
      <x:c r="D15" s="71"/>
      <x:c r="E15" s="71"/>
      <x:c r="F15" s="71"/>
      <x:c r="G15" s="71"/>
      <x:c r="H15" s="71"/>
      <x:c r="I15" s="71"/>
      <x:c r="J15" s="71"/>
      <x:c r="K15" s="71"/>
    </x:row>
    <x:row r="16">
      <x:c r="A16" s="71"/>
      <x:c r="B16" s="71"/>
      <x:c r="C16" s="71"/>
      <x:c r="D16" s="71"/>
      <x:c r="E16" s="71"/>
      <x:c r="F16" s="71"/>
      <x:c r="G16" s="71"/>
      <x:c r="H16" s="71"/>
      <x:c r="I16" s="71"/>
      <x:c r="J16" s="71"/>
      <x:c r="K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</x:row>
  </x:sheetData>
  <x:mergeCells>
    <x:mergeCell ref="A1:J1"/>
    <x:mergeCell ref="A2:J2"/>
    <x:mergeCell ref="A11:E11"/>
    <x:mergeCell ref="A12:E14"/>
  </x:mergeCells>
  <x:conditionalFormatting sqref="C5:C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{F7763407-EAC1-68F8-9D79-D8072F9B13DD}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1a58a5b94f549c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7763407-EAC1-68F8-9D79-D8072F9B13DD}">
            <x14:dataBar gradient="1">
              <x14:cfvo type="min"/>
              <x14:cfvo type="max"/>
              <x14:fillColor rgb="FFA02B93"/>
            </x14:dataBar>
          </x14:cfRule>
          <xm:sqref>C5:C9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70" t="str">
        <x:v>Unplanned Downtime Pareto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</x:row>
    <x:row r="2" ht="20" customHeight="1">
      <x:c r="A2" s="72" t="str">
        <x:v>Largest known unplanned downtime causes from the simulated 30-day period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</x:row>
    <x:row r="3">
      <x:c r="A3" s="71"/>
      <x:c r="B3" s="71"/>
      <x:c r="C3" s="71"/>
      <x:c r="D3" s="71"/>
      <x:c r="E3" s="71"/>
      <x:c r="F3" s="71"/>
      <x:c r="G3" s="71"/>
      <x:c r="H3" s="71"/>
      <x:c r="I3" s="71"/>
      <x:c r="J3" s="71"/>
      <x:c r="K3" s="71"/>
    </x:row>
    <x:row r="4">
      <x:c r="A4" s="75" t="str">
        <x:v>Failure Type</x:v>
      </x:c>
      <x:c r="B4" s="75" t="str">
        <x:v>Downtime (min)</x:v>
      </x:c>
      <x:c r="C4" s="75" t="str">
        <x:v>Share of Unplanned</x:v>
      </x:c>
      <x:c r="D4" s="75" t="str">
        <x:v>Cumulative Share</x:v>
      </x:c>
      <x:c r="E4" s="71"/>
      <x:c r="F4" s="71"/>
      <x:c r="G4" s="71"/>
      <x:c r="H4" s="71"/>
      <x:c r="I4" s="71"/>
      <x:c r="J4" s="71"/>
      <x:c r="K4" s="71"/>
    </x:row>
    <x:row r="5">
      <x:c r="A5" s="71" t="str">
        <x:v>Part Presence Sensor</x:v>
      </x:c>
      <x:c r="B5" s="88" t="n">
        <x:v>635.46</x:v>
      </x:c>
      <x:c r="C5" s="86" t="n">
        <x:v>0.09513657561625584</x:v>
      </x:c>
      <x:c r="D5" s="86" t="n">
        <x:v>0.09513657561625584</x:v>
      </x:c>
      <x:c r="E5" s="71"/>
      <x:c r="F5" s="71"/>
      <x:c r="G5" s="71"/>
      <x:c r="H5" s="71"/>
      <x:c r="I5" s="71"/>
      <x:c r="J5" s="71"/>
      <x:c r="K5" s="71"/>
    </x:row>
    <x:row r="6">
      <x:c r="A6" s="71" t="str">
        <x:v>Robot Position Fault</x:v>
      </x:c>
      <x:c r="B6" s="88" t="n">
        <x:v>595.09</x:v>
      </x:c>
      <x:c r="C6" s="86" t="n">
        <x:v>0.08909266481521683</x:v>
      </x:c>
      <x:c r="D6" s="86" t="n">
        <x:v>0.18422924043147265</x:v>
      </x:c>
      <x:c r="E6" s="71"/>
      <x:c r="F6" s="71"/>
      <x:c r="G6" s="71"/>
      <x:c r="H6" s="71"/>
      <x:c r="I6" s="71"/>
      <x:c r="J6" s="71"/>
      <x:c r="K6" s="71"/>
    </x:row>
    <x:row r="7">
      <x:c r="A7" s="71" t="str">
        <x:v>Vision System Fault</x:v>
      </x:c>
      <x:c r="B7" s="88" t="n">
        <x:v>502.31</x:v>
      </x:c>
      <x:c r="C7" s="86" t="n">
        <x:v>0.07520229959053515</x:v>
      </x:c>
      <x:c r="D7" s="86" t="n">
        <x:v>0.2594315400220078</x:v>
      </x:c>
      <x:c r="E7" s="71"/>
      <x:c r="F7" s="71"/>
      <x:c r="G7" s="71"/>
      <x:c r="H7" s="71"/>
      <x:c r="I7" s="71"/>
      <x:c r="J7" s="71"/>
      <x:c r="K7" s="71"/>
    </x:row>
    <x:row r="8">
      <x:c r="A8" s="71" t="str">
        <x:v>Functional Test Failure</x:v>
      </x:c>
      <x:c r="B8" s="88" t="n">
        <x:v>439.6</x:v>
      </x:c>
      <x:c r="C8" s="86" t="n">
        <x:v>0.06581380203459866</x:v>
      </x:c>
      <x:c r="D8" s="86" t="n">
        <x:v>0.3252453420566065</x:v>
      </x:c>
      <x:c r="E8" s="71"/>
      <x:c r="F8" s="71"/>
      <x:c r="G8" s="71"/>
      <x:c r="H8" s="71"/>
      <x:c r="I8" s="71"/>
      <x:c r="J8" s="71"/>
      <x:c r="K8" s="71"/>
    </x:row>
    <x:row r="9">
      <x:c r="A9" s="71" t="str">
        <x:v>Product Changeover</x:v>
      </x:c>
      <x:c r="B9" s="88" t="n">
        <x:v>425.39</x:v>
      </x:c>
      <x:c r="C9" s="86" t="n">
        <x:v>0.06368638136373504</x:v>
      </x:c>
      <x:c r="D9" s="86" t="n">
        <x:v>0.38893172342034155</x:v>
      </x:c>
      <x:c r="E9" s="71"/>
      <x:c r="F9" s="71"/>
      <x:c r="G9" s="71"/>
      <x:c r="H9" s="71"/>
      <x:c r="I9" s="71"/>
      <x:c r="J9" s="71"/>
      <x:c r="K9" s="71"/>
    </x:row>
    <x:row r="10">
      <x:c r="A10" s="71" t="str">
        <x:v>Fixture Fault</x:v>
      </x:c>
      <x:c r="B10" s="88" t="n">
        <x:v>403.58</x:v>
      </x:c>
      <x:c r="C10" s="86" t="n">
        <x:v>0.06042114245933423</x:v>
      </x:c>
      <x:c r="D10" s="86" t="n">
        <x:v>0.44935286587967577</x:v>
      </x:c>
      <x:c r="E10" s="71"/>
      <x:c r="F10" s="71"/>
      <x:c r="G10" s="71"/>
      <x:c r="H10" s="71"/>
      <x:c r="I10" s="71"/>
      <x:c r="J10" s="71"/>
      <x:c r="K10" s="71"/>
    </x:row>
    <x:row r="11">
      <x:c r="A11" s="71" t="str">
        <x:v>Tool Wear</x:v>
      </x:c>
      <x:c r="B11" s="88" t="n">
        <x:v>381.76</x:v>
      </x:c>
      <x:c r="C11" s="86" t="n">
        <x:v>0.05715440642567876</x:v>
      </x:c>
      <x:c r="D11" s="86" t="n">
        <x:v>0.5065072723053545</x:v>
      </x:c>
      <x:c r="E11" s="71"/>
      <x:c r="F11" s="71"/>
      <x:c r="G11" s="71"/>
      <x:c r="H11" s="71"/>
      <x:c r="I11" s="71"/>
      <x:c r="J11" s="71"/>
      <x:c r="K11" s="71"/>
    </x:row>
    <x:row r="12">
      <x:c r="A12" s="71" t="str">
        <x:v>Gripper Fault</x:v>
      </x:c>
      <x:c r="B12" s="88" t="n">
        <x:v>361.85</x:v>
      </x:c>
      <x:c r="C12" s="86" t="n">
        <x:v>0.054173622079662254</x:v>
      </x:c>
      <x:c r="D12" s="86" t="n">
        <x:v>0.5606808943850168</x:v>
      </x:c>
      <x:c r="E12" s="71"/>
      <x:c r="F12" s="71"/>
      <x:c r="G12" s="71"/>
      <x:c r="H12" s="71"/>
      <x:c r="I12" s="71"/>
      <x:c r="J12" s="71"/>
      <x:c r="K12" s="71"/>
    </x:row>
    <x:row r="13">
      <x:c r="A13" s="71" t="str">
        <x:v>Packaging Jam</x:v>
      </x:c>
      <x:c r="B13" s="88" t="n">
        <x:v>352.16</x:v>
      </x:c>
      <x:c r="C13" s="86" t="n">
        <x:v>0.05272290383190233</x:v>
      </x:c>
      <x:c r="D13" s="86" t="n">
        <x:v>0.6134037982169191</x:v>
      </x:c>
      <x:c r="E13" s="71"/>
      <x:c r="F13" s="71"/>
      <x:c r="G13" s="71"/>
      <x:c r="H13" s="71"/>
      <x:c r="I13" s="71"/>
      <x:c r="J13" s="71"/>
      <x:c r="K13" s="71"/>
    </x:row>
    <x:row r="14">
      <x:c r="A14" s="71"/>
      <x:c r="B14" s="71"/>
      <x:c r="C14" s="71"/>
      <x:c r="D14" s="71"/>
      <x:c r="E14" s="71"/>
      <x:c r="F14" s="71"/>
      <x:c r="G14" s="71"/>
      <x:c r="H14" s="71"/>
      <x:c r="I14" s="71"/>
      <x:c r="J14" s="71"/>
      <x:c r="K14" s="71"/>
    </x:row>
    <x:row r="15">
      <x:c r="A15" s="74" t="str">
        <x:v>Interpretation</x:v>
      </x:c>
      <x:c r="B15" s="74"/>
      <x:c r="C15" s="74"/>
      <x:c r="D15" s="74"/>
      <x:c r="E15" s="71"/>
      <x:c r="F15" s="71"/>
      <x:c r="G15" s="71"/>
      <x:c r="H15" s="71"/>
      <x:c r="I15" s="71"/>
      <x:c r="J15" s="71"/>
      <x:c r="K15" s="71"/>
    </x:row>
    <x:row r="16">
      <x:c r="A16" s="76" t="str">
        <x:v>Part Presence Sensor is the largest single unplanned downtime cause at 635.46 minutes (9.51% of total unplanned downtime). Within ST02 specifically, it accounts for 33.07% of unplanned downtime across 49 events with an average duration of 12.97 minutes.</x:v>
      </x:c>
      <x:c r="B16" s="76"/>
      <x:c r="C16" s="76"/>
      <x:c r="D16" s="76"/>
      <x:c r="E16" s="71"/>
      <x:c r="F16" s="71"/>
      <x:c r="G16" s="71"/>
      <x:c r="H16" s="71"/>
      <x:c r="I16" s="71"/>
      <x:c r="J16" s="71"/>
      <x:c r="K16" s="71"/>
    </x:row>
    <x:row r="17">
      <x:c r="A17" s="76"/>
      <x:c r="B17" s="76"/>
      <x:c r="C17" s="76"/>
      <x:c r="D17" s="76"/>
      <x:c r="E17" s="71"/>
      <x:c r="F17" s="71"/>
      <x:c r="G17" s="71"/>
      <x:c r="H17" s="71"/>
      <x:c r="I17" s="71"/>
      <x:c r="J17" s="71"/>
      <x:c r="K17" s="71"/>
    </x:row>
    <x:row r="18">
      <x:c r="A18" s="76"/>
      <x:c r="B18" s="76"/>
      <x:c r="C18" s="76"/>
      <x:c r="D18" s="76"/>
      <x:c r="E18" s="71"/>
      <x:c r="F18" s="71"/>
      <x:c r="G18" s="71"/>
      <x:c r="H18" s="71"/>
      <x:c r="I18" s="71"/>
      <x:c r="J18" s="71"/>
      <x:c r="K18" s="71"/>
    </x:row>
    <x:row r="19">
      <x:c r="A19" s="76"/>
      <x:c r="B19" s="76"/>
      <x:c r="C19" s="76"/>
      <x:c r="D19" s="76"/>
      <x:c r="E19" s="71"/>
      <x:c r="F19" s="71"/>
      <x:c r="G19" s="71"/>
      <x:c r="H19" s="71"/>
      <x:c r="I19" s="71"/>
      <x:c r="J19" s="71"/>
      <x:c r="K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</x:row>
  </x:sheetData>
  <x:mergeCells>
    <x:mergeCell ref="A1:K1"/>
    <x:mergeCell ref="A2:K2"/>
    <x:mergeCell ref="A15:D15"/>
    <x:mergeCell ref="A16:D19"/>
  </x:mergeCells>
  <x:conditionalFormatting sqref="B5:B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{E0994C40-BC7E-D8DE-9C3B-363BCFC9ACF9}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f40d9f9c65445f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0994C40-BC7E-D8DE-9C3B-363BCFC9ACF9}">
            <x14:dataBar gradient="1">
              <x14:cfvo type="min"/>
              <x14:cfvo type="max"/>
              <x14:fillColor rgb="FFA02B93"/>
            </x14:dataBar>
          </x14:cfRule>
          <xm:sqref>B5:B13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56" hidden="0" customWidth="1"/>
  </x:cols>
  <x:sheetData>
    <x:row r="1" ht="28" customHeight="1">
      <x:c r="A1" s="70" t="str">
        <x:v>Shift &amp; Product Findings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1"/>
    </x:row>
    <x:row r="2" ht="20" customHeight="1">
      <x:c r="A2" s="72" t="str">
        <x:v>Root-cause indicators from ST04 Assembly &amp; Testing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1"/>
    </x:row>
    <x:row r="3">
      <x:c r="A3" s="71"/>
      <x:c r="B3" s="71"/>
      <x:c r="C3" s="71"/>
      <x:c r="D3" s="71"/>
      <x:c r="E3" s="71"/>
      <x:c r="F3" s="71"/>
      <x:c r="G3" s="71"/>
      <x:c r="H3" s="71"/>
      <x:c r="I3" s="71"/>
      <x:c r="J3" s="71"/>
      <x:c r="K3" s="71"/>
    </x:row>
    <x:row r="4">
      <x:c r="A4" s="75" t="str">
        <x:v>Dimension</x:v>
      </x:c>
      <x:c r="B4" s="75" t="str">
        <x:v>Finding</x:v>
      </x:c>
      <x:c r="C4" s="75" t="str">
        <x:v>Measured Value</x:v>
      </x:c>
      <x:c r="D4" s="75" t="str">
        <x:v>Consulting Interpretation</x:v>
      </x:c>
      <x:c r="E4" s="71"/>
      <x:c r="F4" s="71"/>
      <x:c r="G4" s="71"/>
      <x:c r="H4" s="71"/>
      <x:c r="I4" s="71"/>
      <x:c r="J4" s="71"/>
      <x:c r="K4" s="71"/>
    </x:row>
    <x:row r="5">
      <x:c r="A5" s="76" t="str">
        <x:v>Shift</x:v>
      </x:c>
      <x:c r="B5" s="76" t="str">
        <x:v>Slowest ST04 shift</x:v>
      </x:c>
      <x:c r="C5" s="76" t="str">
        <x:v>80.58 sec mean cycle time (Shift C)</x:v>
      </x:c>
      <x:c r="D5" s="76" t="str">
        <x:v>Shift-specific cycle degradation requires observation before attributing cause.</x:v>
      </x:c>
      <x:c r="E5" s="71"/>
      <x:c r="F5" s="71"/>
      <x:c r="G5" s="71"/>
      <x:c r="H5" s="71"/>
      <x:c r="I5" s="71"/>
      <x:c r="J5" s="71"/>
      <x:c r="K5" s="71"/>
    </x:row>
    <x:row r="6">
      <x:c r="A6" s="76" t="str">
        <x:v>Product</x:v>
      </x:c>
      <x:c r="B6" s="76" t="str">
        <x:v>Slowest ST04 product</x:v>
      </x:c>
      <x:c r="C6" s="76" t="str">
        <x:v>82.23 sec mean cycle time (ACT-300)</x:v>
      </x:c>
      <x:c r="D6" s="76" t="str">
        <x:v>Heavy-duty product complexity contributes to the throughput constraint.</x:v>
      </x:c>
      <x:c r="E6" s="71"/>
      <x:c r="F6" s="71"/>
      <x:c r="G6" s="71"/>
      <x:c r="H6" s="71"/>
      <x:c r="I6" s="71"/>
      <x:c r="J6" s="71"/>
      <x:c r="K6" s="71"/>
    </x:row>
    <x:row r="7">
      <x:c r="A7" s="76" t="str">
        <x:v>Downtime</x:v>
      </x:c>
      <x:c r="B7" s="76" t="str">
        <x:v>Top ST04 unplanned cause</x:v>
      </x:c>
      <x:c r="C7" s="76" t="str">
        <x:v>439.60 min Functional Test Failure</x:v>
      </x:c>
      <x:c r="D7" s="76" t="str">
        <x:v>ST04 has both a cycle-time constraint and an additional downtime loss.</x:v>
      </x:c>
      <x:c r="E7" s="71"/>
      <x:c r="F7" s="71"/>
      <x:c r="G7" s="71"/>
      <x:c r="H7" s="71"/>
      <x:c r="I7" s="71"/>
      <x:c r="J7" s="71"/>
      <x:c r="K7" s="71"/>
    </x:row>
    <x:row r="8">
      <x:c r="A8" s="76" t="str">
        <x:v>Constraint</x:v>
      </x:c>
      <x:c r="B8" s="76" t="str">
        <x:v>ST04 line constraint share</x:v>
      </x:c>
      <x:c r="C8" s="76" t="str">
        <x:v>97.78% of shifts</x:v>
      </x:c>
      <x:c r="D8" s="76" t="str">
        <x:v>Improving ST04 has direct potential to increase finished-goods capacity.</x:v>
      </x:c>
      <x:c r="E8" s="71"/>
      <x:c r="F8" s="71"/>
      <x:c r="G8" s="71"/>
      <x:c r="H8" s="71"/>
      <x:c r="I8" s="71"/>
      <x:c r="J8" s="71"/>
      <x:c r="K8" s="71"/>
    </x:row>
    <x:row r="9">
      <x:c r="A9" s="71"/>
      <x:c r="B9" s="71"/>
      <x:c r="C9" s="71"/>
      <x:c r="D9" s="71"/>
      <x:c r="E9" s="71"/>
      <x:c r="F9" s="71"/>
      <x:c r="G9" s="71"/>
      <x:c r="H9" s="71"/>
      <x:c r="I9" s="71"/>
      <x:c r="J9" s="71"/>
      <x:c r="K9" s="71"/>
    </x:row>
    <x:row r="10">
      <x:c r="A10" s="74" t="str">
        <x:v>Reliability Quick Win: ST02 Part Presence Sensor</x:v>
      </x:c>
      <x:c r="B10" s="74"/>
      <x:c r="C10" s="74"/>
      <x:c r="D10" s="74"/>
      <x:c r="E10" s="71"/>
      <x:c r="F10" s="71"/>
      <x:c r="G10" s="71"/>
      <x:c r="H10" s="71"/>
      <x:c r="I10" s="71"/>
      <x:c r="J10" s="71"/>
      <x:c r="K10" s="71"/>
    </x:row>
    <x:row r="11">
      <x:c r="A11" s="75" t="str">
        <x:v>Metric</x:v>
      </x:c>
      <x:c r="B11" s="75" t="str">
        <x:v>Value</x:v>
      </x:c>
      <x:c r="C11" s="75" t="str">
        <x:v>Meaning</x:v>
      </x:c>
      <x:c r="D11" s="75" t="str">
        <x:v>Status</x:v>
      </x:c>
      <x:c r="E11" s="71"/>
      <x:c r="F11" s="71"/>
      <x:c r="G11" s="71"/>
      <x:c r="H11" s="71"/>
      <x:c r="I11" s="71"/>
      <x:c r="J11" s="71"/>
      <x:c r="K11" s="71"/>
    </x:row>
    <x:row r="12">
      <x:c r="A12" s="76" t="str">
        <x:v>Events</x:v>
      </x:c>
      <x:c r="B12" s="76" t="n">
        <x:v>49</x:v>
      </x:c>
      <x:c r="C12" s="76" t="str">
        <x:v>Recurring failure frequency</x:v>
      </x:c>
      <x:c r="D12" s="76" t="str">
        <x:v>Evidence</x:v>
      </x:c>
      <x:c r="E12" s="71"/>
      <x:c r="F12" s="71"/>
      <x:c r="G12" s="71"/>
      <x:c r="H12" s="71"/>
      <x:c r="I12" s="71"/>
      <x:c r="J12" s="71"/>
      <x:c r="K12" s="71"/>
    </x:row>
    <x:row r="13">
      <x:c r="A13" s="76" t="str">
        <x:v>Downtime</x:v>
      </x:c>
      <x:c r="B13" s="76" t="n">
        <x:v>635.46</x:v>
      </x:c>
      <x:c r="C13" s="90" t="str">
        <x:v>10.59 hours lost in 30 working days</x:v>
      </x:c>
      <x:c r="D13" s="76" t="str">
        <x:v>Evidence</x:v>
      </x:c>
      <x:c r="E13" s="71"/>
      <x:c r="F13" s="71"/>
      <x:c r="G13" s="71"/>
      <x:c r="H13" s="71"/>
      <x:c r="I13" s="71"/>
      <x:c r="J13" s="71"/>
      <x:c r="K13" s="71"/>
    </x:row>
    <x:row r="14">
      <x:c r="A14" s="76" t="str">
        <x:v>Share of ST02 unplanned downtime</x:v>
      </x:c>
      <x:c r="B14" s="76" t="n">
        <x:v>0.3307</x:v>
      </x:c>
      <x:c r="C14" s="76" t="str">
        <x:v>One failure mode drives one-third of ST02 unplanned loss</x:v>
      </x:c>
      <x:c r="D14" s="76" t="str">
        <x:v>Evidence</x:v>
      </x:c>
      <x:c r="E14" s="71"/>
      <x:c r="F14" s="71"/>
      <x:c r="G14" s="71"/>
      <x:c r="H14" s="71"/>
      <x:c r="I14" s="71"/>
      <x:c r="J14" s="71"/>
      <x:c r="K14" s="71"/>
    </x:row>
    <x:row r="15">
      <x:c r="A15" s="76" t="str">
        <x:v>Average event duration</x:v>
      </x:c>
      <x:c r="B15" s="76" t="n">
        <x:v>12.97</x:v>
      </x:c>
      <x:c r="C15" s="76" t="str">
        <x:v>Recovery duration is operationally meaningful</x:v>
      </x:c>
      <x:c r="D15" s="76" t="str">
        <x:v>Evidence</x:v>
      </x:c>
      <x:c r="E15" s="71"/>
      <x:c r="F15" s="71"/>
      <x:c r="G15" s="71"/>
      <x:c r="H15" s="71"/>
      <x:c r="I15" s="71"/>
      <x:c r="J15" s="71"/>
      <x:c r="K15" s="71"/>
    </x:row>
    <x:row r="16">
      <x:c r="A16" s="71"/>
      <x:c r="B16" s="71"/>
      <x:c r="C16" s="71"/>
      <x:c r="D16" s="71"/>
      <x:c r="E16" s="71"/>
      <x:c r="F16" s="71"/>
      <x:c r="G16" s="71"/>
      <x:c r="H16" s="71"/>
      <x:c r="I16" s="71"/>
      <x:c r="J16" s="71"/>
      <x:c r="K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</x:row>
  </x:sheetData>
  <x:mergeCells>
    <x:mergeCell ref="A1:J1"/>
    <x:mergeCell ref="A2:J2"/>
    <x:mergeCell ref="A10:D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8" hidden="0" customWidth="1"/>
    <x:col min="4" max="4" width="20" hidden="0" customWidth="1"/>
    <x:col min="5" max="5" width="3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70" t="str">
        <x:v>Financial Business Case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</x:row>
    <x:row r="2" ht="20" customHeight="1">
      <x:c r="A2" s="72" t="str">
        <x:v>All monetary values are simulated portfolio assumptions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</x:row>
    <x:row r="3">
      <x:c r="A3" s="71"/>
      <x:c r="B3" s="71"/>
      <x:c r="C3" s="71"/>
      <x:c r="D3" s="71"/>
      <x:c r="E3" s="71"/>
      <x:c r="F3" s="71"/>
      <x:c r="G3" s="71"/>
      <x:c r="H3" s="71"/>
      <x:c r="I3" s="71"/>
      <x:c r="J3" s="71"/>
      <x:c r="K3" s="71"/>
    </x:row>
    <x:row r="4">
      <x:c r="A4" s="75" t="str">
        <x:v>Assumption</x:v>
      </x:c>
      <x:c r="B4" s="75" t="str">
        <x:v>Value</x:v>
      </x:c>
      <x:c r="C4" s="71"/>
      <x:c r="D4" s="75" t="str">
        <x:v>Case</x:v>
      </x:c>
      <x:c r="E4" s="75" t="str">
        <x:v>Scenario</x:v>
      </x:c>
      <x:c r="F4" s="75" t="str">
        <x:v>Theoretical Annual Units</x:v>
      </x:c>
      <x:c r="G4" s="75" t="str">
        <x:v>Realized Year-1 Units</x:v>
      </x:c>
      <x:c r="H4" s="75" t="str">
        <x:v>Annual Benefit (€)</x:v>
      </x:c>
      <x:c r="I4" s="75" t="str">
        <x:v>Implementation Cost (€)</x:v>
      </x:c>
      <x:c r="J4" s="75" t="str">
        <x:v>Year-1 ROI</x:v>
      </x:c>
      <x:c r="K4" s="75" t="str">
        <x:v>Payback (months)</x:v>
      </x:c>
    </x:row>
    <x:row r="5">
      <x:c r="A5" s="71" t="str">
        <x:v>Observation working days</x:v>
      </x:c>
      <x:c r="B5" s="71" t="n">
        <x:v>30</x:v>
      </x:c>
      <x:c r="C5" s="71"/>
      <x:c r="D5" s="71" t="str">
        <x:v>ST04 Throughput</x:v>
      </x:c>
      <x:c r="E5" s="71" t="str">
        <x:v>Work-element study + standard work</x:v>
      </x:c>
      <x:c r="F5" s="92" t="n">
        <x:v>7307.7</x:v>
      </x:c>
      <x:c r="G5" s="92" t="n">
        <x:f>F5*$B$8*$B$9</x:f>
        <x:v>2740.3875</x:v>
      </x:c>
      <x:c r="H5" s="93" t="n">
        <x:f>G5*$B$7</x:f>
        <x:v>54807.75</x:v>
      </x:c>
      <x:c r="I5" s="93" t="n">
        <x:v>15000</x:v>
      </x:c>
      <x:c r="J5" s="86" t="n">
        <x:f>(H5-I5)/I5</x:f>
        <x:v>2.65385</x:v>
      </x:c>
      <x:c r="K5" s="88" t="n">
        <x:f>I5/H5*12</x:f>
        <x:v>3.284207069255717</x:v>
      </x:c>
    </x:row>
    <x:row r="6">
      <x:c r="A6" s="71" t="str">
        <x:v>Annual working days</x:v>
      </x:c>
      <x:c r="B6" s="71" t="n">
        <x:v>250</x:v>
      </x:c>
      <x:c r="C6" s="71"/>
      <x:c r="D6" s="71" t="str">
        <x:v>ST02 Reliability</x:v>
      </x:c>
      <x:c r="E6" s="71" t="str">
        <x:v>Basic sensor inspection + standard recovery</x:v>
      </x:c>
      <x:c r="F6" s="92" t="n">
        <x:v>0</x:v>
      </x:c>
      <x:c r="G6" s="92" t="n">
        <x:v>0</x:v>
      </x:c>
      <x:c r="H6" s="93" t="n">
        <x:v>1059.1</x:v>
      </x:c>
      <x:c r="I6" s="93" t="n">
        <x:v>3000</x:v>
      </x:c>
      <x:c r="J6" s="86" t="n">
        <x:f>(H6-I6)/I6</x:f>
        <x:v>-0.6469666666666667</x:v>
      </x:c>
      <x:c r="K6" s="88" t="n">
        <x:f>I6/H6*12</x:f>
        <x:v>33.99112453970353</x:v>
      </x:c>
    </x:row>
    <x:row r="7">
      <x:c r="A7" s="71" t="str">
        <x:v>Contribution value per realized good unit (€)</x:v>
      </x:c>
      <x:c r="B7" s="71" t="n">
        <x:v>20</x:v>
      </x:c>
      <x:c r="C7" s="71"/>
      <x:c r="D7" s="71"/>
      <x:c r="E7" s="71"/>
      <x:c r="F7" s="71"/>
      <x:c r="G7" s="71"/>
      <x:c r="H7" s="71"/>
      <x:c r="I7" s="71"/>
      <x:c r="J7" s="71"/>
      <x:c r="K7" s="71"/>
    </x:row>
    <x:row r="8">
      <x:c r="A8" s="71" t="str">
        <x:v>Capacity realization factor</x:v>
      </x:c>
      <x:c r="B8" s="94" t="n">
        <x:v>0.5</x:v>
      </x:c>
      <x:c r="C8" s="71"/>
      <x:c r="D8" s="74" t="str">
        <x:v>Business Case Interpretation</x:v>
      </x:c>
      <x:c r="E8" s="74"/>
      <x:c r="F8" s="74"/>
      <x:c r="G8" s="74"/>
      <x:c r="H8" s="74"/>
      <x:c r="I8" s="74"/>
      <x:c r="J8" s="74"/>
      <x:c r="K8" s="74"/>
    </x:row>
    <x:row r="9">
      <x:c r="A9" s="71" t="str">
        <x:v>Year-1 ramp factor</x:v>
      </x:c>
      <x:c r="B9" s="94" t="n">
        <x:v>0.75</x:v>
      </x:c>
      <x:c r="C9" s="71"/>
      <x:c r="D9" s="76" t="str">
        <x:v>ST04 is the economically relevant throughput case because it is the active line constraint. The work-element study + standard-work scenario produces an estimated €54.8k Year-1 benefit against €15k implementation cost, corresponding to approximately 265% Year-1 ROI and 3.28 months payback. ST02 sensor improvement should be treated as a reliability/stability initiative until ST04 capacity is released.</x:v>
      </x:c>
      <x:c r="E9" s="76"/>
      <x:c r="F9" s="76"/>
      <x:c r="G9" s="76"/>
      <x:c r="H9" s="76"/>
      <x:c r="I9" s="76"/>
      <x:c r="J9" s="76"/>
      <x:c r="K9" s="76"/>
    </x:row>
    <x:row r="10">
      <x:c r="A10" s="71" t="str">
        <x:v>Maintenance/support value per recovered hour (€)</x:v>
      </x:c>
      <x:c r="B10" s="71" t="n">
        <x:v>60</x:v>
      </x:c>
      <x:c r="C10" s="71"/>
      <x:c r="D10" s="76"/>
      <x:c r="E10" s="76"/>
      <x:c r="F10" s="76"/>
      <x:c r="G10" s="76"/>
      <x:c r="H10" s="76"/>
      <x:c r="I10" s="76"/>
      <x:c r="J10" s="76"/>
      <x:c r="K10" s="76"/>
    </x:row>
    <x:row r="11">
      <x:c r="A11" s="71"/>
      <x:c r="B11" s="71"/>
      <x:c r="C11" s="71"/>
      <x:c r="D11" s="76"/>
      <x:c r="E11" s="76"/>
      <x:c r="F11" s="76"/>
      <x:c r="G11" s="76"/>
      <x:c r="H11" s="76"/>
      <x:c r="I11" s="76"/>
      <x:c r="J11" s="76"/>
      <x:c r="K11" s="76"/>
    </x:row>
    <x:row r="12">
      <x:c r="A12" s="71"/>
      <x:c r="B12" s="71"/>
      <x:c r="C12" s="71"/>
      <x:c r="D12" s="76"/>
      <x:c r="E12" s="76"/>
      <x:c r="F12" s="76"/>
      <x:c r="G12" s="76"/>
      <x:c r="H12" s="76"/>
      <x:c r="I12" s="76"/>
      <x:c r="J12" s="76"/>
      <x:c r="K12" s="76"/>
    </x:row>
    <x:row r="13">
      <x:c r="A13" s="71"/>
      <x:c r="B13" s="71"/>
      <x:c r="C13" s="71"/>
      <x:c r="D13" s="71"/>
      <x:c r="E13" s="71"/>
      <x:c r="F13" s="71"/>
      <x:c r="G13" s="71"/>
      <x:c r="H13" s="71"/>
      <x:c r="I13" s="71"/>
      <x:c r="J13" s="71"/>
      <x:c r="K13" s="71"/>
    </x:row>
    <x:row r="14">
      <x:c r="A14" s="71"/>
      <x:c r="B14" s="71"/>
      <x:c r="C14" s="71"/>
      <x:c r="D14" s="71"/>
      <x:c r="E14" s="71"/>
      <x:c r="F14" s="71"/>
      <x:c r="G14" s="71"/>
      <x:c r="H14" s="71"/>
      <x:c r="I14" s="71"/>
      <x:c r="J14" s="71"/>
      <x:c r="K14" s="71"/>
    </x:row>
    <x:row r="15">
      <x:c r="A15" s="71"/>
      <x:c r="B15" s="71"/>
      <x:c r="C15" s="71"/>
      <x:c r="D15" s="71"/>
      <x:c r="E15" s="71"/>
      <x:c r="F15" s="71"/>
      <x:c r="G15" s="71"/>
      <x:c r="H15" s="71"/>
      <x:c r="I15" s="71"/>
      <x:c r="J15" s="71"/>
      <x:c r="K15" s="71"/>
    </x:row>
    <x:row r="16">
      <x:c r="A16" s="71"/>
      <x:c r="B16" s="71"/>
      <x:c r="C16" s="71"/>
      <x:c r="D16" s="71"/>
      <x:c r="E16" s="71"/>
      <x:c r="F16" s="71"/>
      <x:c r="G16" s="71"/>
      <x:c r="H16" s="71"/>
      <x:c r="I16" s="71"/>
      <x:c r="J16" s="71"/>
      <x:c r="K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</x:row>
  </x:sheetData>
  <x:mergeCells>
    <x:mergeCell ref="A1:K1"/>
    <x:mergeCell ref="A2:K2"/>
    <x:mergeCell ref="D8:K8"/>
    <x:mergeCell ref="D9:K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28" hidden="0" customWidth="1"/>
  </x:cols>
  <x:sheetData>
    <x:row r="1" ht="28" customHeight="1">
      <x:c r="A1" s="70" t="str">
        <x:v>Assumptions Register</x:v>
      </x:c>
      <x:c r="B1" s="70"/>
      <x:c r="C1" s="70"/>
      <x:c r="D1" s="70"/>
      <x:c r="E1" s="70"/>
      <x:c r="F1" s="70"/>
      <x:c r="G1" s="70"/>
      <x:c r="H1" s="70"/>
      <x:c r="I1" s="71"/>
      <x:c r="J1" s="71"/>
      <x:c r="K1" s="71"/>
    </x:row>
    <x:row r="2" ht="20" customHeight="1">
      <x:c r="A2" s="72" t="str">
        <x:v>All items below are simulated assumptions unless stated otherwise</x:v>
      </x:c>
      <x:c r="B2" s="72"/>
      <x:c r="C2" s="72"/>
      <x:c r="D2" s="72"/>
      <x:c r="E2" s="72"/>
      <x:c r="F2" s="72"/>
      <x:c r="G2" s="72"/>
      <x:c r="H2" s="72"/>
      <x:c r="I2" s="71"/>
      <x:c r="J2" s="71"/>
      <x:c r="K2" s="71"/>
    </x:row>
    <x:row r="3">
      <x:c r="A3" s="71"/>
      <x:c r="B3" s="71"/>
      <x:c r="C3" s="71"/>
      <x:c r="D3" s="71"/>
      <x:c r="E3" s="71"/>
      <x:c r="F3" s="71"/>
      <x:c r="G3" s="71"/>
      <x:c r="H3" s="71"/>
      <x:c r="I3" s="71"/>
      <x:c r="J3" s="71"/>
      <x:c r="K3" s="71"/>
    </x:row>
    <x:row r="4">
      <x:c r="A4" s="75" t="str">
        <x:v>Assumption</x:v>
      </x:c>
      <x:c r="B4" s="75" t="str">
        <x:v>Value</x:v>
      </x:c>
      <x:c r="C4" s="75" t="str">
        <x:v>Status</x:v>
      </x:c>
      <x:c r="D4" s="71"/>
      <x:c r="E4" s="71"/>
      <x:c r="F4" s="71"/>
      <x:c r="G4" s="71"/>
      <x:c r="H4" s="71"/>
      <x:c r="I4" s="71"/>
      <x:c r="J4" s="71"/>
      <x:c r="K4" s="71"/>
    </x:row>
    <x:row r="5">
      <x:c r="A5" s="76" t="str">
        <x:v>Factory</x:v>
      </x:c>
      <x:c r="B5" s="76" t="str">
        <x:v>5-station serial production line</x:v>
      </x:c>
      <x:c r="C5" s="76" t="str">
        <x:v>Simulated</x:v>
      </x:c>
      <x:c r="D5" s="71"/>
      <x:c r="E5" s="71"/>
      <x:c r="F5" s="71"/>
      <x:c r="G5" s="71"/>
      <x:c r="H5" s="71"/>
      <x:c r="I5" s="71"/>
      <x:c r="J5" s="71"/>
      <x:c r="K5" s="71"/>
    </x:row>
    <x:row r="6">
      <x:c r="A6" s="76" t="str">
        <x:v>Products</x:v>
      </x:c>
      <x:c r="B6" s="76" t="str">
        <x:v>ACT-100 / ACT-200 / ACT-300</x:v>
      </x:c>
      <x:c r="C6" s="76" t="str">
        <x:v>Simulated</x:v>
      </x:c>
      <x:c r="D6" s="71"/>
      <x:c r="E6" s="71"/>
      <x:c r="F6" s="71"/>
      <x:c r="G6" s="71"/>
      <x:c r="H6" s="71"/>
      <x:c r="I6" s="71"/>
      <x:c r="J6" s="71"/>
      <x:c r="K6" s="71"/>
    </x:row>
    <x:row r="7">
      <x:c r="A7" s="76" t="str">
        <x:v>Production days</x:v>
      </x:c>
      <x:c r="B7" s="76" t="str">
        <x:v>30 working days</x:v>
      </x:c>
      <x:c r="C7" s="76" t="str">
        <x:v>Simulated</x:v>
      </x:c>
      <x:c r="D7" s="71"/>
      <x:c r="E7" s="71"/>
      <x:c r="F7" s="71"/>
      <x:c r="G7" s="71"/>
      <x:c r="H7" s="71"/>
      <x:c r="I7" s="71"/>
      <x:c r="J7" s="71"/>
      <x:c r="K7" s="71"/>
    </x:row>
    <x:row r="8">
      <x:c r="A8" s="76" t="str">
        <x:v>Shifts</x:v>
      </x:c>
      <x:c r="B8" s="76" t="str">
        <x:v>3 shifts/day</x:v>
      </x:c>
      <x:c r="C8" s="76" t="str">
        <x:v>Simulated</x:v>
      </x:c>
      <x:c r="D8" s="71"/>
      <x:c r="E8" s="71"/>
      <x:c r="F8" s="71"/>
      <x:c r="G8" s="71"/>
      <x:c r="H8" s="71"/>
      <x:c r="I8" s="71"/>
      <x:c r="J8" s="71"/>
      <x:c r="K8" s="71"/>
    </x:row>
    <x:row r="9">
      <x:c r="A9" s="76" t="str">
        <x:v>Planned production time</x:v>
      </x:c>
      <x:c r="B9" s="76" t="str">
        <x:v>450 min/shift</x:v>
      </x:c>
      <x:c r="C9" s="76" t="str">
        <x:v>Simulated</x:v>
      </x:c>
      <x:c r="D9" s="71"/>
      <x:c r="E9" s="71"/>
      <x:c r="F9" s="71"/>
      <x:c r="G9" s="71"/>
      <x:c r="H9" s="71"/>
      <x:c r="I9" s="71"/>
      <x:c r="J9" s="71"/>
      <x:c r="K9" s="71"/>
    </x:row>
    <x:row r="10">
      <x:c r="A10" s="76" t="str">
        <x:v>Observation interval</x:v>
      </x:c>
      <x:c r="B10" s="76" t="str">
        <x:v>15-minute production blocks</x:v>
      </x:c>
      <x:c r="C10" s="76" t="str">
        <x:v>Simulated</x:v>
      </x:c>
      <x:c r="D10" s="71"/>
      <x:c r="E10" s="71"/>
      <x:c r="F10" s="71"/>
      <x:c r="G10" s="71"/>
      <x:c r="H10" s="71"/>
      <x:c r="I10" s="71"/>
      <x:c r="J10" s="71"/>
      <x:c r="K10" s="71"/>
    </x:row>
    <x:row r="11">
      <x:c r="A11" s="76" t="str">
        <x:v>Annual working days</x:v>
      </x:c>
      <x:c r="B11" s="76" t="str">
        <x:v>250 days/year</x:v>
      </x:c>
      <x:c r="C11" s="76" t="str">
        <x:v>Simulated financial assumption</x:v>
      </x:c>
      <x:c r="D11" s="71"/>
      <x:c r="E11" s="71"/>
      <x:c r="F11" s="71"/>
      <x:c r="G11" s="71"/>
      <x:c r="H11" s="71"/>
      <x:c r="I11" s="71"/>
      <x:c r="J11" s="71"/>
      <x:c r="K11" s="71"/>
    </x:row>
    <x:row r="12">
      <x:c r="A12" s="76" t="str">
        <x:v>Contribution value</x:v>
      </x:c>
      <x:c r="B12" s="76" t="str">
        <x:v>€20 per realized additional good unit</x:v>
      </x:c>
      <x:c r="C12" s="76" t="str">
        <x:v>Simulated financial assumption</x:v>
      </x:c>
      <x:c r="D12" s="71"/>
      <x:c r="E12" s="71"/>
      <x:c r="F12" s="71"/>
      <x:c r="G12" s="71"/>
      <x:c r="H12" s="71"/>
      <x:c r="I12" s="71"/>
      <x:c r="J12" s="71"/>
      <x:c r="K12" s="71"/>
    </x:row>
    <x:row r="13">
      <x:c r="A13" s="76" t="str">
        <x:v>Capacity realization</x:v>
      </x:c>
      <x:c r="B13" s="76" t="str">
        <x:v>50%</x:v>
      </x:c>
      <x:c r="C13" s="76" t="str">
        <x:v>Simulated financial assumption</x:v>
      </x:c>
      <x:c r="D13" s="71"/>
      <x:c r="E13" s="71"/>
      <x:c r="F13" s="71"/>
      <x:c r="G13" s="71"/>
      <x:c r="H13" s="71"/>
      <x:c r="I13" s="71"/>
      <x:c r="J13" s="71"/>
      <x:c r="K13" s="71"/>
    </x:row>
    <x:row r="14">
      <x:c r="A14" s="76" t="str">
        <x:v>Year-1 ramp</x:v>
      </x:c>
      <x:c r="B14" s="76" t="str">
        <x:v>75%</x:v>
      </x:c>
      <x:c r="C14" s="76" t="str">
        <x:v>Simulated financial assumption</x:v>
      </x:c>
      <x:c r="D14" s="71"/>
      <x:c r="E14" s="71"/>
      <x:c r="F14" s="71"/>
      <x:c r="G14" s="71"/>
      <x:c r="H14" s="71"/>
      <x:c r="I14" s="71"/>
      <x:c r="J14" s="71"/>
      <x:c r="K14" s="71"/>
    </x:row>
    <x:row r="15">
      <x:c r="A15" s="76" t="str">
        <x:v>Support value</x:v>
      </x:c>
      <x:c r="B15" s="76" t="str">
        <x:v>€60 per recovered hour</x:v>
      </x:c>
      <x:c r="C15" s="76" t="str">
        <x:v>Simulated financial assumption</x:v>
      </x:c>
      <x:c r="D15" s="71"/>
      <x:c r="E15" s="71"/>
      <x:c r="F15" s="71"/>
      <x:c r="G15" s="71"/>
      <x:c r="H15" s="71"/>
      <x:c r="I15" s="71"/>
      <x:c r="J15" s="71"/>
      <x:c r="K15" s="71"/>
    </x:row>
    <x:row r="16">
      <x:c r="A16" s="76" t="str">
        <x:v>Confidentiality</x:v>
      </x:c>
      <x:c r="B16" s="76" t="str">
        <x:v>No real-company operational data used</x:v>
      </x:c>
      <x:c r="C16" s="76" t="str">
        <x:v>Project rule</x:v>
      </x:c>
      <x:c r="D16" s="71"/>
      <x:c r="E16" s="71"/>
      <x:c r="F16" s="71"/>
      <x:c r="G16" s="71"/>
      <x:c r="H16" s="71"/>
      <x:c r="I16" s="71"/>
      <x:c r="J16" s="71"/>
      <x:c r="K16" s="71"/>
    </x:row>
    <x:row r="17">
      <x:c r="A17" s="71"/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</x:row>
    <x:row r="18">
      <x:c r="A18" s="71"/>
      <x:c r="B18" s="71"/>
      <x:c r="C18" s="71"/>
      <x:c r="D18" s="71"/>
      <x:c r="E18" s="71"/>
      <x:c r="F18" s="71"/>
      <x:c r="G18" s="71"/>
      <x:c r="H18" s="71"/>
      <x:c r="I18" s="71"/>
      <x:c r="J18" s="71"/>
      <x:c r="K18" s="71"/>
    </x:row>
    <x:row r="19">
      <x:c r="A19" s="71"/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</x:row>
    <x:row r="20">
      <x:c r="A20" s="71"/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</x:row>
    <x:row r="21">
      <x:c r="A21" s="71"/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</x:row>
    <x:row r="22">
      <x:c r="A22" s="71"/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  <x:c r="K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  <x:c r="K25" s="71"/>
    </x:row>
    <x:row r="26">
      <x:c r="A26" s="71"/>
      <x:c r="B26" s="71"/>
      <x:c r="C26" s="71"/>
      <x:c r="D26" s="71"/>
      <x:c r="E26" s="71"/>
      <x:c r="F26" s="71"/>
      <x:c r="G26" s="71"/>
      <x:c r="H26" s="71"/>
      <x:c r="I26" s="71"/>
      <x:c r="J26" s="71"/>
      <x:c r="K26" s="71"/>
    </x:row>
    <x:row r="27">
      <x:c r="A27" s="71"/>
      <x:c r="B27" s="71"/>
      <x:c r="C27" s="71"/>
      <x:c r="D27" s="71"/>
      <x:c r="E27" s="71"/>
      <x:c r="F27" s="71"/>
      <x:c r="G27" s="71"/>
      <x:c r="H27" s="71"/>
      <x:c r="I27" s="71"/>
      <x:c r="J27" s="71"/>
      <x:c r="K27" s="71"/>
    </x:row>
    <x:row r="28">
      <x:c r="A28" s="71"/>
      <x:c r="B28" s="71"/>
      <x:c r="C28" s="71"/>
      <x:c r="D28" s="71"/>
      <x:c r="E28" s="71"/>
      <x:c r="F28" s="71"/>
      <x:c r="G28" s="71"/>
      <x:c r="H28" s="71"/>
      <x:c r="I28" s="71"/>
      <x:c r="J28" s="71"/>
      <x:c r="K28" s="71"/>
    </x:row>
    <x:row r="29">
      <x:c r="A29" s="71"/>
      <x:c r="B29" s="71"/>
      <x:c r="C29" s="71"/>
      <x:c r="D29" s="71"/>
      <x:c r="E29" s="71"/>
      <x:c r="F29" s="71"/>
      <x:c r="G29" s="71"/>
      <x:c r="H29" s="71"/>
      <x:c r="I29" s="71"/>
      <x:c r="J29" s="71"/>
      <x:c r="K29" s="71"/>
    </x:row>
    <x:row r="30">
      <x:c r="A30" s="71"/>
      <x:c r="B30" s="71"/>
      <x:c r="C30" s="71"/>
      <x:c r="D30" s="71"/>
      <x:c r="E30" s="71"/>
      <x:c r="F30" s="71"/>
      <x:c r="G30" s="71"/>
      <x:c r="H30" s="71"/>
      <x:c r="I30" s="71"/>
      <x:c r="J30" s="71"/>
      <x:c r="K30" s="71"/>
    </x:row>
    <x:row r="31">
      <x:c r="A31" s="71"/>
      <x:c r="B31" s="71"/>
      <x:c r="C31" s="71"/>
      <x:c r="D31" s="71"/>
      <x:c r="E31" s="71"/>
      <x:c r="F31" s="71"/>
      <x:c r="G31" s="71"/>
      <x:c r="H31" s="71"/>
      <x:c r="I31" s="71"/>
      <x:c r="J31" s="71"/>
      <x:c r="K31" s="71"/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  <x:c r="K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  <x:c r="K33" s="71"/>
    </x:row>
    <x:row r="34">
      <x:c r="A34" s="71"/>
      <x:c r="B34" s="71"/>
      <x:c r="C34" s="71"/>
      <x:c r="D34" s="71"/>
      <x:c r="E34" s="71"/>
      <x:c r="F34" s="71"/>
      <x:c r="G34" s="71"/>
      <x:c r="H34" s="71"/>
      <x:c r="I34" s="71"/>
      <x:c r="J34" s="71"/>
      <x:c r="K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48" hidden="0" customWidth="1"/>
  </x:cols>
  <x:sheetData>
    <x:row r="1" ht="28" customHeight="1">
      <x:c r="A1" s="70" t="str">
        <x:v>Data Quality &amp; Validation</x:v>
      </x:c>
      <x:c r="B1" s="70"/>
      <x:c r="C1" s="70"/>
      <x:c r="D1" s="70"/>
      <x:c r="E1" s="70"/>
      <x:c r="F1" s="70"/>
      <x:c r="G1" s="70"/>
      <x:c r="H1" s="70"/>
      <x:c r="I1" s="71"/>
      <x:c r="J1" s="71"/>
      <x:c r="K1" s="71"/>
    </x:row>
    <x:row r="2" ht="20" customHeight="1">
      <x:c r="A2" s="72" t="str">
        <x:v>Validation gate completed before KPI calculation</x:v>
      </x:c>
      <x:c r="B2" s="72"/>
      <x:c r="C2" s="72"/>
      <x:c r="D2" s="72"/>
      <x:c r="E2" s="72"/>
      <x:c r="F2" s="72"/>
      <x:c r="G2" s="72"/>
      <x:c r="H2" s="72"/>
      <x:c r="I2" s="71"/>
      <x:c r="J2" s="71"/>
      <x:c r="K2" s="71"/>
    </x:row>
    <x:row r="3">
      <x:c r="A3" s="71"/>
      <x:c r="B3" s="71"/>
      <x:c r="C3" s="71"/>
      <x:c r="D3" s="71"/>
      <x:c r="E3" s="71"/>
      <x:c r="F3" s="71"/>
      <x:c r="G3" s="71"/>
      <x:c r="H3" s="71"/>
      <x:c r="I3" s="71"/>
      <x:c r="J3" s="71"/>
      <x:c r="K3" s="71"/>
    </x:row>
    <x:row r="4">
      <x:c r="A4" s="75" t="str">
        <x:v>Check</x:v>
      </x:c>
      <x:c r="B4" s="75" t="str">
        <x:v>Status</x:v>
      </x:c>
      <x:c r="C4" s="75" t="str">
        <x:v>Notes</x:v>
      </x:c>
      <x:c r="D4" s="71"/>
      <x:c r="E4" s="71"/>
      <x:c r="F4" s="71"/>
      <x:c r="G4" s="71"/>
      <x:c r="H4" s="71"/>
      <x:c r="I4" s="71"/>
      <x:c r="J4" s="71"/>
      <x:c r="K4" s="71"/>
    </x:row>
    <x:row r="5">
      <x:c r="A5" s="76" t="str">
        <x:v>Unique production record IDs</x:v>
      </x:c>
      <x:c r="B5" s="98" t="str">
        <x:v>PASS</x:v>
      </x:c>
      <x:c r="C5" s="76" t="str"/>
      <x:c r="D5" s="71"/>
      <x:c r="E5" s="71"/>
      <x:c r="F5" s="71"/>
      <x:c r="G5" s="71"/>
      <x:c r="H5" s="71"/>
      <x:c r="I5" s="71"/>
      <x:c r="J5" s="71"/>
      <x:c r="K5" s="71"/>
    </x:row>
    <x:row r="6">
      <x:c r="A6" s="76" t="str">
        <x:v>Unique downtime IDs</x:v>
      </x:c>
      <x:c r="B6" s="98" t="str">
        <x:v>PASS</x:v>
      </x:c>
      <x:c r="C6" s="76" t="str"/>
      <x:c r="D6" s="71"/>
      <x:c r="E6" s="71"/>
      <x:c r="F6" s="71"/>
      <x:c r="G6" s="71"/>
      <x:c r="H6" s="71"/>
      <x:c r="I6" s="71"/>
      <x:c r="J6" s="71"/>
      <x:c r="K6" s="71"/>
    </x:row>
    <x:row r="7">
      <x:c r="A7" s="76" t="str">
        <x:v>Unique maintenance IDs</x:v>
      </x:c>
      <x:c r="B7" s="98" t="str">
        <x:v>PASS</x:v>
      </x:c>
      <x:c r="C7" s="76" t="str"/>
      <x:c r="D7" s="71"/>
      <x:c r="E7" s="71"/>
      <x:c r="F7" s="71"/>
      <x:c r="G7" s="71"/>
      <x:c r="H7" s="71"/>
      <x:c r="I7" s="71"/>
      <x:c r="J7" s="71"/>
      <x:c r="K7" s="71"/>
    </x:row>
    <x:row r="8">
      <x:c r="A8" s="76" t="str">
        <x:v>Unique machine master IDs</x:v>
      </x:c>
      <x:c r="B8" s="98" t="str">
        <x:v>PASS</x:v>
      </x:c>
      <x:c r="C8" s="76" t="str"/>
      <x:c r="D8" s="71"/>
      <x:c r="E8" s="71"/>
      <x:c r="F8" s="71"/>
      <x:c r="G8" s="71"/>
      <x:c r="H8" s="71"/>
      <x:c r="I8" s="71"/>
      <x:c r="J8" s="71"/>
      <x:c r="K8" s="71"/>
    </x:row>
    <x:row r="9">
      <x:c r="A9" s="76" t="str">
        <x:v>Unique product master IDs</x:v>
      </x:c>
      <x:c r="B9" s="98" t="str">
        <x:v>PASS</x:v>
      </x:c>
      <x:c r="C9" s="76" t="str"/>
      <x:c r="D9" s="71"/>
      <x:c r="E9" s="71"/>
      <x:c r="F9" s="71"/>
      <x:c r="G9" s="71"/>
      <x:c r="H9" s="71"/>
      <x:c r="I9" s="71"/>
      <x:c r="J9" s="71"/>
      <x:c r="K9" s="71"/>
    </x:row>
    <x:row r="10">
      <x:c r="A10" s="76" t="str">
        <x:v>Production quantity reconciliation</x:v>
      </x:c>
      <x:c r="B10" s="98" t="str">
        <x:v>PASS</x:v>
      </x:c>
      <x:c r="C10" s="76" t="str"/>
      <x:c r="D10" s="71"/>
      <x:c r="E10" s="71"/>
      <x:c r="F10" s="71"/>
      <x:c r="G10" s="71"/>
      <x:c r="H10" s="71"/>
      <x:c r="I10" s="71"/>
      <x:c r="J10" s="71"/>
      <x:c r="K10" s="71"/>
    </x:row>
    <x:row r="11">
      <x:c r="A11" s="76" t="str">
        <x:v>Production time reconciliation</x:v>
      </x:c>
      <x:c r="B11" s="98" t="str">
        <x:v>PASS</x:v>
      </x:c>
      <x:c r="C11" s="76" t="str"/>
      <x:c r="D11" s="71"/>
      <x:c r="E11" s="71"/>
      <x:c r="F11" s="71"/>
      <x:c r="G11" s="71"/>
      <x:c r="H11" s="71"/>
      <x:c r="I11" s="71"/>
      <x:c r="J11" s="71"/>
      <x:c r="K11" s="71"/>
    </x:row>
    <x:row r="12">
      <x:c r="A12" s="76" t="str">
        <x:v>No negative production values</x:v>
      </x:c>
      <x:c r="B12" s="98" t="str">
        <x:v>PASS</x:v>
      </x:c>
      <x:c r="C12" s="76" t="str"/>
      <x:c r="D12" s="71"/>
      <x:c r="E12" s="71"/>
      <x:c r="F12" s="71"/>
      <x:c r="G12" s="71"/>
      <x:c r="H12" s="71"/>
      <x:c r="I12" s="71"/>
      <x:c r="J12" s="71"/>
      <x:c r="K12" s="71"/>
    </x:row>
    <x:row r="13">
      <x:c r="A13" s="76" t="str">
        <x:v>Valid production station IDs</x:v>
      </x:c>
      <x:c r="B13" s="98" t="str">
        <x:v>PASS</x:v>
      </x:c>
      <x:c r="C13" s="76" t="str"/>
      <x:c r="D13" s="71"/>
      <x:c r="E13" s="71"/>
      <x:c r="F13" s="71"/>
      <x:c r="G13" s="71"/>
      <x:c r="H13" s="71"/>
      <x:c r="I13" s="71"/>
      <x:c r="J13" s="71"/>
      <x:c r="K13" s="71"/>
    </x:row>
    <x:row r="14">
      <x:c r="A14" s="76" t="str">
        <x:v>Valid downtime station IDs</x:v>
      </x:c>
      <x:c r="B14" s="98" t="str">
        <x:v>PASS</x:v>
      </x:c>
      <x:c r="C14" s="76" t="str"/>
      <x:c r="D14" s="71"/>
      <x:c r="E14" s="71"/>
      <x:c r="F14" s="71"/>
      <x:c r="G14" s="71"/>
      <x:c r="H14" s="71"/>
      <x:c r="I14" s="71"/>
      <x:c r="J14" s="71"/>
      <x:c r="K14" s="71"/>
    </x:row>
    <x:row r="15">
      <x:c r="A15" s="76" t="str">
        <x:v>Valid maintenance station IDs</x:v>
      </x:c>
      <x:c r="B15" s="98" t="str">
        <x:v>PASS</x:v>
      </x:c>
      <x:c r="C15" s="76" t="str"/>
      <x:c r="D15" s="71"/>
      <x:c r="E15" s="71"/>
      <x:c r="F15" s="71"/>
      <x:c r="G15" s="71"/>
      <x:c r="H15" s="71"/>
      <x:c r="I15" s="71"/>
      <x:c r="J15" s="71"/>
      <x:c r="K15" s="71"/>
    </x:row>
    <x:row r="16">
      <x:c r="A16" s="76" t="str">
        <x:v>Valid production product IDs</x:v>
      </x:c>
      <x:c r="B16" s="98" t="str">
        <x:v>PASS</x:v>
      </x:c>
      <x:c r="C16" s="76" t="str"/>
      <x:c r="D16" s="71"/>
      <x:c r="E16" s="71"/>
      <x:c r="F16" s="71"/>
      <x:c r="G16" s="71"/>
      <x:c r="H16" s="71"/>
      <x:c r="I16" s="71"/>
      <x:c r="J16" s="71"/>
      <x:c r="K16" s="71"/>
    </x:row>
    <x:row r="17">
      <x:c r="A17" s="76" t="str">
        <x:v>Valid downtime product IDs</x:v>
      </x:c>
      <x:c r="B17" s="98" t="str">
        <x:v>PASS</x:v>
      </x:c>
      <x:c r="C17" s="76" t="str"/>
      <x:c r="D17" s="71"/>
      <x:c r="E17" s="71"/>
      <x:c r="F17" s="71"/>
      <x:c r="G17" s="71"/>
      <x:c r="H17" s="71"/>
      <x:c r="I17" s="71"/>
      <x:c r="J17" s="71"/>
      <x:c r="K17" s="71"/>
    </x:row>
    <x:row r="18">
      <x:c r="A18" s="76" t="str">
        <x:v>Valid target product IDs</x:v>
      </x:c>
      <x:c r="B18" s="98" t="str">
        <x:v>PASS</x:v>
      </x:c>
      <x:c r="C18" s="76" t="str"/>
      <x:c r="D18" s="71"/>
      <x:c r="E18" s="71"/>
      <x:c r="F18" s="71"/>
      <x:c r="G18" s="71"/>
      <x:c r="H18" s="71"/>
      <x:c r="I18" s="71"/>
      <x:c r="J18" s="71"/>
      <x:c r="K18" s="71"/>
    </x:row>
    <x:row r="19">
      <x:c r="A19" s="76" t="str">
        <x:v>Valid production shifts</x:v>
      </x:c>
      <x:c r="B19" s="98" t="str">
        <x:v>PASS</x:v>
      </x:c>
      <x:c r="C19" s="76" t="str"/>
      <x:c r="D19" s="71"/>
      <x:c r="E19" s="71"/>
      <x:c r="F19" s="71"/>
      <x:c r="G19" s="71"/>
      <x:c r="H19" s="71"/>
      <x:c r="I19" s="71"/>
      <x:c r="J19" s="71"/>
      <x:c r="K19" s="71"/>
    </x:row>
    <x:row r="20">
      <x:c r="A20" s="76" t="str">
        <x:v>Valid downtime shifts</x:v>
      </x:c>
      <x:c r="B20" s="98" t="str">
        <x:v>PASS</x:v>
      </x:c>
      <x:c r="C20" s="76" t="str"/>
      <x:c r="D20" s="71"/>
      <x:c r="E20" s="71"/>
      <x:c r="F20" s="71"/>
      <x:c r="G20" s="71"/>
      <x:c r="H20" s="71"/>
      <x:c r="I20" s="71"/>
      <x:c r="J20" s="71"/>
      <x:c r="K20" s="71"/>
    </x:row>
    <x:row r="21">
      <x:c r="A21" s="76" t="str">
        <x:v>Valid target shifts</x:v>
      </x:c>
      <x:c r="B21" s="98" t="str">
        <x:v>PASS</x:v>
      </x:c>
      <x:c r="C21" s="76" t="str"/>
      <x:c r="D21" s="71"/>
      <x:c r="E21" s="71"/>
      <x:c r="F21" s="71"/>
      <x:c r="G21" s="71"/>
      <x:c r="H21" s="71"/>
      <x:c r="I21" s="71"/>
      <x:c r="J21" s="71"/>
      <x:c r="K21" s="71"/>
    </x:row>
    <x:row r="22">
      <x:c r="A22" s="76" t="str">
        <x:v>No missing critical production values</x:v>
      </x:c>
      <x:c r="B22" s="98" t="str">
        <x:v>PASS</x:v>
      </x:c>
      <x:c r="C22" s="76" t="str"/>
      <x:c r="D22" s="71"/>
      <x:c r="E22" s="71"/>
      <x:c r="F22" s="71"/>
      <x:c r="G22" s="71"/>
      <x:c r="H22" s="71"/>
      <x:c r="I22" s="71"/>
      <x:c r="J22" s="71"/>
      <x:c r="K22" s="71"/>
    </x:row>
    <x:row r="23">
      <x:c r="A23" s="76" t="str">
        <x:v>No missing critical downtime values</x:v>
      </x:c>
      <x:c r="B23" s="98" t="str">
        <x:v>PASS</x:v>
      </x:c>
      <x:c r="C23" s="76" t="str"/>
      <x:c r="D23" s="71"/>
      <x:c r="E23" s="71"/>
      <x:c r="F23" s="71"/>
      <x:c r="G23" s="71"/>
      <x:c r="H23" s="71"/>
      <x:c r="I23" s="71"/>
      <x:c r="J23" s="71"/>
      <x:c r="K23" s="71"/>
    </x:row>
    <x:row r="24">
      <x:c r="A24" s="76" t="str">
        <x:v>30 production blocks per station-shift</x:v>
      </x:c>
      <x:c r="B24" s="98" t="str">
        <x:v>PASS</x:v>
      </x:c>
      <x:c r="C24" s="76" t="str"/>
      <x:c r="D24" s="71"/>
      <x:c r="E24" s="71"/>
      <x:c r="F24" s="71"/>
      <x:c r="G24" s="71"/>
      <x:c r="H24" s="71"/>
      <x:c r="I24" s="71"/>
      <x:c r="J24" s="71"/>
      <x:c r="K24" s="71"/>
    </x:row>
    <x:row r="25">
      <x:c r="A25" s="76" t="str">
        <x:v>One scheduled product per shift</x:v>
      </x:c>
      <x:c r="B25" s="98" t="str">
        <x:v>PASS</x:v>
      </x:c>
      <x:c r="C25" s="76" t="str"/>
      <x:c r="D25" s="71"/>
      <x:c r="E25" s="71"/>
      <x:c r="F25" s="71"/>
      <x:c r="G25" s="71"/>
      <x:c r="H25" s="71"/>
      <x:c r="I25" s="71"/>
      <x:c r="J25" s="71"/>
      <x:c r="K25" s="71"/>
    </x:row>
    <x:row r="26">
      <x:c r="A26" s="76" t="str">
        <x:v>Downtime duration reconciliation</x:v>
      </x:c>
      <x:c r="B26" s="98" t="str">
        <x:v>PASS</x:v>
      </x:c>
      <x:c r="C26" s="76" t="str"/>
      <x:c r="D26" s="71"/>
      <x:c r="E26" s="71"/>
      <x:c r="F26" s="71"/>
      <x:c r="G26" s="71"/>
      <x:c r="H26" s="71"/>
      <x:c r="I26" s="71"/>
      <x:c r="J26" s="71"/>
      <x:c r="K26" s="71"/>
    </x:row>
    <x:row r="27">
      <x:c r="A27" s="76" t="str">
        <x:v>Positive downtime duration</x:v>
      </x:c>
      <x:c r="B27" s="98" t="str">
        <x:v>PASS</x:v>
      </x:c>
      <x:c r="C27" s="76" t="str"/>
      <x:c r="D27" s="71"/>
      <x:c r="E27" s="71"/>
      <x:c r="F27" s="71"/>
      <x:c r="G27" s="71"/>
      <x:c r="H27" s="71"/>
      <x:c r="I27" s="71"/>
      <x:c r="J27" s="71"/>
      <x:c r="K27" s="71"/>
    </x:row>
    <x:row r="28">
      <x:c r="A28" s="76" t="str">
        <x:v>Production vs downtime-event reconciliation</x:v>
      </x:c>
      <x:c r="B28" s="98" t="str">
        <x:v>PASS</x:v>
      </x:c>
      <x:c r="C28" s="76" t="str">
        <x:v>Production = 7,312.65 min; downtime log = 7,312.65 min</x:v>
      </x:c>
      <x:c r="D28" s="71"/>
      <x:c r="E28" s="71"/>
      <x:c r="F28" s="71"/>
      <x:c r="G28" s="71"/>
      <x:c r="H28" s="71"/>
      <x:c r="I28" s="71"/>
      <x:c r="J28" s="71"/>
      <x:c r="K28" s="71"/>
    </x:row>
    <x:row r="29">
      <x:c r="A29" s="76" t="str">
        <x:v>Production downtime IDs exist in downtime log</x:v>
      </x:c>
      <x:c r="B29" s="98" t="str">
        <x:v>PASS</x:v>
      </x:c>
      <x:c r="C29" s="76" t="str"/>
      <x:c r="D29" s="71"/>
      <x:c r="E29" s="71"/>
      <x:c r="F29" s="71"/>
      <x:c r="G29" s="71"/>
      <x:c r="H29" s="71"/>
      <x:c r="I29" s="71"/>
      <x:c r="J29" s="71"/>
      <x:c r="K29" s="71"/>
    </x:row>
    <x:row r="30">
      <x:c r="A30" s="76" t="str">
        <x:v>Downtime events link to production records</x:v>
      </x:c>
      <x:c r="B30" s="98" t="str">
        <x:v>PASS</x:v>
      </x:c>
      <x:c r="C30" s="76" t="str"/>
      <x:c r="D30" s="71"/>
      <x:c r="E30" s="71"/>
      <x:c r="F30" s="71"/>
      <x:c r="G30" s="71"/>
      <x:c r="H30" s="71"/>
      <x:c r="I30" s="71"/>
      <x:c r="J30" s="71"/>
      <x:c r="K30" s="71"/>
    </x:row>
    <x:row r="31">
      <x:c r="A31" s="76" t="str">
        <x:v>One production target per shift</x:v>
      </x:c>
      <x:c r="B31" s="98" t="str">
        <x:v>PASS</x:v>
      </x:c>
      <x:c r="C31" s="76" t="str"/>
      <x:c r="D31" s="71"/>
      <x:c r="E31" s="71"/>
      <x:c r="F31" s="71"/>
      <x:c r="G31" s="71"/>
      <x:c r="H31" s="71"/>
      <x:c r="I31" s="71"/>
      <x:c r="J31" s="71"/>
      <x:c r="K31" s="71"/>
    </x:row>
    <x:row r="32">
      <x:c r="A32" s="76" t="str">
        <x:v>Target product matches production schedule</x:v>
      </x:c>
      <x:c r="B32" s="98" t="str">
        <x:v>PASS</x:v>
      </x:c>
      <x:c r="C32" s="76" t="str"/>
      <x:c r="D32" s="71"/>
      <x:c r="E32" s="71"/>
      <x:c r="F32" s="71"/>
      <x:c r="G32" s="71"/>
      <x:c r="H32" s="71"/>
      <x:c r="I32" s="71"/>
      <x:c r="J32" s="71"/>
      <x:c r="K32" s="71"/>
    </x:row>
    <x:row r="33">
      <x:c r="A33" s="76" t="str">
        <x:v>Valid maintenance types</x:v>
      </x:c>
      <x:c r="B33" s="98" t="str">
        <x:v>PASS</x:v>
      </x:c>
      <x:c r="C33" s="76" t="str"/>
      <x:c r="D33" s="71"/>
      <x:c r="E33" s="71"/>
      <x:c r="F33" s="71"/>
      <x:c r="G33" s="71"/>
      <x:c r="H33" s="71"/>
      <x:c r="I33" s="71"/>
      <x:c r="J33" s="71"/>
      <x:c r="K33" s="71"/>
    </x:row>
    <x:row r="34">
      <x:c r="A34" s="76" t="str">
        <x:v>Positive maintenance duration</x:v>
      </x:c>
      <x:c r="B34" s="98" t="str">
        <x:v>PASS</x:v>
      </x:c>
      <x:c r="C34" s="76" t="str"/>
      <x:c r="D34" s="71"/>
      <x:c r="E34" s="71"/>
      <x:c r="F34" s="71"/>
      <x:c r="G34" s="71"/>
      <x:c r="H34" s="71"/>
      <x:c r="I34" s="71"/>
      <x:c r="J34" s="71"/>
      <x:c r="K34" s="71"/>
    </x:row>
    <x:row r="35">
      <x:c r="A35" s="71"/>
      <x:c r="B35" s="71"/>
      <x:c r="C35" s="71"/>
      <x:c r="D35" s="71"/>
      <x:c r="E35" s="71"/>
      <x:c r="F35" s="71"/>
      <x:c r="G35" s="71"/>
      <x:c r="H35" s="71"/>
      <x:c r="I35" s="71"/>
      <x:c r="J35" s="71"/>
      <x:c r="K35" s="71"/>
    </x:row>
    <x:row r="36">
      <x:c r="A36" s="71"/>
      <x:c r="B36" s="71"/>
      <x:c r="C36" s="71"/>
      <x:c r="D36" s="71"/>
      <x:c r="E36" s="71"/>
      <x:c r="F36" s="71"/>
      <x:c r="G36" s="71"/>
      <x:c r="H36" s="71"/>
      <x:c r="I36" s="71"/>
      <x:c r="J36" s="71"/>
      <x:c r="K36" s="71"/>
    </x:row>
    <x:row r="37">
      <x:c r="A37" s="71"/>
      <x:c r="B37" s="71"/>
      <x:c r="C37" s="71"/>
      <x:c r="D37" s="71"/>
      <x:c r="E37" s="71"/>
      <x:c r="F37" s="71"/>
      <x:c r="G37" s="71"/>
      <x:c r="H37" s="71"/>
      <x:c r="I37" s="71"/>
      <x:c r="J37" s="71"/>
      <x:c r="K37" s="71"/>
    </x:row>
    <x:row r="38">
      <x:c r="A38" s="71"/>
      <x:c r="B38" s="71"/>
      <x:c r="C38" s="71"/>
      <x:c r="D38" s="71"/>
      <x:c r="E38" s="71"/>
      <x:c r="F38" s="71"/>
      <x:c r="G38" s="71"/>
      <x:c r="H38" s="71"/>
      <x:c r="I38" s="71"/>
      <x:c r="J38" s="71"/>
      <x:c r="K38" s="71"/>
    </x:row>
    <x:row r="39">
      <x:c r="A39" s="71"/>
      <x:c r="B39" s="71"/>
      <x:c r="C39" s="71"/>
      <x:c r="D39" s="71"/>
      <x:c r="E39" s="71"/>
      <x:c r="F39" s="71"/>
      <x:c r="G39" s="71"/>
      <x:c r="H39" s="71"/>
      <x:c r="I39" s="71"/>
      <x:c r="J39" s="71"/>
      <x:c r="K39" s="71"/>
    </x:row>
    <x:row r="40">
      <x:c r="A40" s="71"/>
      <x:c r="B40" s="71"/>
      <x:c r="C40" s="71"/>
      <x:c r="D40" s="71"/>
      <x:c r="E40" s="71"/>
      <x:c r="F40" s="71"/>
      <x:c r="G40" s="71"/>
      <x:c r="H40" s="71"/>
      <x:c r="I40" s="71"/>
      <x:c r="J40" s="71"/>
      <x:c r="K40" s="71"/>
    </x:row>
  </x:sheetData>
  <x:mergeCells>
    <x:mergeCell ref="A1:H1"/>
    <x:mergeCell ref="A2:H2"/>
  </x:mergeCells>
  <x:pageMargins left="0.7" right="0.7" top="0.75" bottom="0.75" header="0.3" footer="0.3"/>
</x:worksheet>
</file>